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5-12-01_REGIONAL_DATA/Class Materials/Week 1 Excel/Day 2/"/>
    </mc:Choice>
  </mc:AlternateContent>
  <xr:revisionPtr revIDLastSave="363" documentId="8_{A1B6FE3E-8BD6-4C9B-AFBF-A92F2DF013F5}" xr6:coauthVersionLast="47" xr6:coauthVersionMax="47" xr10:uidLastSave="{B9008184-030C-4CBD-90A6-1BCCCCFDB375}"/>
  <bookViews>
    <workbookView xWindow="-28920" yWindow="-1530" windowWidth="29040" windowHeight="16440" activeTab="2" xr2:uid="{00000000-000D-0000-FFFF-FFFF00000000}"/>
  </bookViews>
  <sheets>
    <sheet name="Product Sales by Category" sheetId="3" r:id="rId1"/>
    <sheet name="Product sales by Gender " sheetId="4" r:id="rId2"/>
    <sheet name="Sales by gender and generation" sheetId="5" r:id="rId3"/>
    <sheet name="retail_sales_dataset" sheetId="1" r:id="rId4"/>
    <sheet name="Transactions" sheetId="2" r:id="rId5"/>
  </sheets>
  <definedNames>
    <definedName name="_xlnm._FilterDatabase" localSheetId="3" hidden="1">retail_sales_dataset!$A$1:$R$1001</definedName>
    <definedName name="_xlcn.WorksheetConnection_retail_sales_dataset.xlsxTable11" hidden="1">retail_sales_dataset!$A$1:$M$1001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91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S15" i="1"/>
  <c r="S14" i="1"/>
  <c r="R20" i="1"/>
  <c r="P11" i="1"/>
  <c r="P10" i="1"/>
  <c r="D16" i="2"/>
  <c r="A16" i="2"/>
  <c r="D13" i="2"/>
  <c r="A13" i="2"/>
  <c r="B3" i="2"/>
  <c r="B4" i="2"/>
  <c r="B5" i="2"/>
  <c r="B6" i="2"/>
  <c r="B7" i="2"/>
  <c r="B8" i="2"/>
  <c r="B9" i="2"/>
  <c r="B10" i="2"/>
  <c r="B2" i="2"/>
  <c r="C3" i="2"/>
  <c r="C4" i="2"/>
  <c r="C5" i="2"/>
  <c r="C6" i="2"/>
  <c r="C7" i="2"/>
  <c r="E7" i="2" s="1"/>
  <c r="C8" i="2"/>
  <c r="C9" i="2"/>
  <c r="C10" i="2"/>
  <c r="C2" i="2"/>
  <c r="J589" i="1" a="1"/>
  <c r="J589" i="1"/>
  <c r="J330" i="1" a="1"/>
  <c r="J330" i="1"/>
  <c r="J833" i="1" a="1"/>
  <c r="J833" i="1"/>
  <c r="J834" i="1" a="1"/>
  <c r="J834" i="1"/>
  <c r="J438" i="1" a="1"/>
  <c r="J438" i="1"/>
  <c r="J835" i="1" a="1"/>
  <c r="J835" i="1"/>
  <c r="J836" i="1" a="1"/>
  <c r="J836" i="1"/>
  <c r="J331" i="1" a="1"/>
  <c r="J331" i="1"/>
  <c r="J699" i="1" a="1"/>
  <c r="J699" i="1"/>
  <c r="J2" i="1" a="1"/>
  <c r="J2" i="1"/>
  <c r="J161" i="1" a="1"/>
  <c r="J161" i="1"/>
  <c r="J253" i="1" a="1"/>
  <c r="J253" i="1"/>
  <c r="J700" i="1" a="1"/>
  <c r="J700" i="1"/>
  <c r="J162" i="1" a="1"/>
  <c r="J162" i="1"/>
  <c r="J590" i="1" a="1"/>
  <c r="J590" i="1"/>
  <c r="J591" i="1" a="1"/>
  <c r="J591" i="1"/>
  <c r="J439" i="1" a="1"/>
  <c r="J439" i="1"/>
  <c r="J66" i="1" a="1"/>
  <c r="J66" i="1"/>
  <c r="J592" i="1" a="1"/>
  <c r="J592" i="1"/>
  <c r="J67" i="1" a="1"/>
  <c r="J67" i="1"/>
  <c r="J593" i="1" a="1"/>
  <c r="J593" i="1"/>
  <c r="J163" i="1" a="1"/>
  <c r="J163" i="1"/>
  <c r="J837" i="1" a="1"/>
  <c r="J837" i="1"/>
  <c r="J701" i="1" a="1"/>
  <c r="J701" i="1"/>
  <c r="J594" i="1" a="1"/>
  <c r="J594" i="1"/>
  <c r="J164" i="1" a="1"/>
  <c r="J164" i="1"/>
  <c r="J440" i="1" a="1"/>
  <c r="J440" i="1"/>
  <c r="J165" i="1" a="1"/>
  <c r="J165" i="1"/>
  <c r="J166" i="1" a="1"/>
  <c r="J166" i="1"/>
  <c r="J838" i="1" a="1"/>
  <c r="J838" i="1"/>
  <c r="J167" i="1" a="1"/>
  <c r="J167" i="1"/>
  <c r="J702" i="1" a="1"/>
  <c r="J702" i="1"/>
  <c r="J68" i="1" a="1"/>
  <c r="J68" i="1"/>
  <c r="J69" i="1" a="1"/>
  <c r="J69" i="1"/>
  <c r="J703" i="1" a="1"/>
  <c r="J703" i="1"/>
  <c r="J254" i="1" a="1"/>
  <c r="J254" i="1"/>
  <c r="J839" i="1" a="1"/>
  <c r="J839" i="1"/>
  <c r="J255" i="1" a="1"/>
  <c r="J255" i="1"/>
  <c r="J168" i="1" a="1"/>
  <c r="J168" i="1"/>
  <c r="J441" i="1" a="1"/>
  <c r="J441" i="1"/>
  <c r="J3" i="1" a="1"/>
  <c r="J3" i="1"/>
  <c r="J442" i="1" a="1"/>
  <c r="J442" i="1"/>
  <c r="J595" i="1" a="1"/>
  <c r="J595" i="1"/>
  <c r="J70" i="1" a="1"/>
  <c r="J70" i="1"/>
  <c r="J4" i="1" a="1"/>
  <c r="J4" i="1"/>
  <c r="J840" i="1" a="1"/>
  <c r="J840" i="1"/>
  <c r="J704" i="1" a="1"/>
  <c r="J704" i="1"/>
  <c r="J332" i="1" a="1"/>
  <c r="J332" i="1"/>
  <c r="J256" i="1" a="1"/>
  <c r="J256" i="1"/>
  <c r="J596" i="1" a="1"/>
  <c r="J596" i="1"/>
  <c r="J169" i="1" a="1"/>
  <c r="J169" i="1"/>
  <c r="J443" i="1" a="1"/>
  <c r="J443" i="1"/>
  <c r="J444" i="1" a="1"/>
  <c r="J444" i="1"/>
  <c r="J445" i="1" a="1"/>
  <c r="J445" i="1"/>
  <c r="J5" i="1" a="1"/>
  <c r="J5" i="1"/>
  <c r="J71" i="1" a="1"/>
  <c r="J71" i="1"/>
  <c r="J6" i="1" a="1"/>
  <c r="J6" i="1"/>
  <c r="J705" i="1" a="1"/>
  <c r="J705" i="1"/>
  <c r="J841" i="1" a="1"/>
  <c r="J841" i="1"/>
  <c r="J597" i="1" a="1"/>
  <c r="J597" i="1"/>
  <c r="J257" i="1" a="1"/>
  <c r="J257" i="1"/>
  <c r="J72" i="1" a="1"/>
  <c r="J72" i="1"/>
  <c r="J446" i="1" a="1"/>
  <c r="J446" i="1"/>
  <c r="J73" i="1" a="1"/>
  <c r="J73" i="1"/>
  <c r="J842" i="1" a="1"/>
  <c r="J842" i="1"/>
  <c r="J843" i="1" a="1"/>
  <c r="J843" i="1"/>
  <c r="J7" i="1" a="1"/>
  <c r="J7" i="1"/>
  <c r="J706" i="1" a="1"/>
  <c r="J706" i="1"/>
  <c r="J170" i="1" a="1"/>
  <c r="J170" i="1"/>
  <c r="J333" i="1" a="1"/>
  <c r="J333" i="1"/>
  <c r="J258" i="1" a="1"/>
  <c r="J258" i="1"/>
  <c r="J8" i="1" a="1"/>
  <c r="J8" i="1"/>
  <c r="J598" i="1" a="1"/>
  <c r="J598" i="1"/>
  <c r="J334" i="1" a="1"/>
  <c r="J334" i="1"/>
  <c r="J599" i="1" a="1"/>
  <c r="J599" i="1"/>
  <c r="J844" i="1" a="1"/>
  <c r="J844" i="1"/>
  <c r="J447" i="1" a="1"/>
  <c r="J447" i="1"/>
  <c r="J845" i="1" a="1"/>
  <c r="J845" i="1"/>
  <c r="J74" i="1" a="1"/>
  <c r="J74" i="1"/>
  <c r="J846" i="1" a="1"/>
  <c r="J846" i="1"/>
  <c r="J847" i="1" a="1"/>
  <c r="J847" i="1"/>
  <c r="J75" i="1" a="1"/>
  <c r="J75" i="1"/>
  <c r="J848" i="1" a="1"/>
  <c r="J848" i="1"/>
  <c r="J849" i="1" a="1"/>
  <c r="J849" i="1"/>
  <c r="J259" i="1" a="1"/>
  <c r="J259" i="1"/>
  <c r="J9" i="1" a="1"/>
  <c r="J9" i="1"/>
  <c r="J707" i="1" a="1"/>
  <c r="J707" i="1"/>
  <c r="J76" i="1" a="1"/>
  <c r="J76" i="1"/>
  <c r="J708" i="1" a="1"/>
  <c r="J708" i="1"/>
  <c r="J709" i="1" a="1"/>
  <c r="J709" i="1"/>
  <c r="J335" i="1" a="1"/>
  <c r="J335" i="1"/>
  <c r="J171" i="1" a="1"/>
  <c r="J171" i="1"/>
  <c r="J448" i="1" a="1"/>
  <c r="J448" i="1"/>
  <c r="J172" i="1" a="1"/>
  <c r="J172" i="1"/>
  <c r="J449" i="1" a="1"/>
  <c r="J449" i="1"/>
  <c r="J710" i="1" a="1"/>
  <c r="J710" i="1"/>
  <c r="J77" i="1" a="1"/>
  <c r="J77" i="1"/>
  <c r="J336" i="1" a="1"/>
  <c r="J336" i="1"/>
  <c r="J850" i="1" a="1"/>
  <c r="J850" i="1"/>
  <c r="J450" i="1" a="1"/>
  <c r="J450" i="1"/>
  <c r="J173" i="1" a="1"/>
  <c r="J173" i="1"/>
  <c r="J78" i="1" a="1"/>
  <c r="J78" i="1"/>
  <c r="J851" i="1" a="1"/>
  <c r="J851" i="1"/>
  <c r="J600" i="1" a="1"/>
  <c r="J600" i="1"/>
  <c r="J451" i="1" a="1"/>
  <c r="J451" i="1"/>
  <c r="J601" i="1" a="1"/>
  <c r="J601" i="1"/>
  <c r="J602" i="1" a="1"/>
  <c r="J602" i="1"/>
  <c r="J452" i="1" a="1"/>
  <c r="J452" i="1"/>
  <c r="J603" i="1" a="1"/>
  <c r="J603" i="1"/>
  <c r="J174" i="1" a="1"/>
  <c r="J174" i="1"/>
  <c r="J852" i="1" a="1"/>
  <c r="J852" i="1"/>
  <c r="J853" i="1" a="1"/>
  <c r="J853" i="1"/>
  <c r="J604" i="1" a="1"/>
  <c r="J604" i="1"/>
  <c r="J711" i="1" a="1"/>
  <c r="J711" i="1"/>
  <c r="J605" i="1" a="1"/>
  <c r="J605" i="1"/>
  <c r="J260" i="1" a="1"/>
  <c r="J260" i="1"/>
  <c r="J453" i="1" a="1"/>
  <c r="J453" i="1"/>
  <c r="J712" i="1" a="1"/>
  <c r="J712" i="1"/>
  <c r="J337" i="1" a="1"/>
  <c r="J337" i="1"/>
  <c r="J261" i="1" a="1"/>
  <c r="J261" i="1"/>
  <c r="J338" i="1" a="1"/>
  <c r="J338" i="1"/>
  <c r="J454" i="1" a="1"/>
  <c r="J454" i="1"/>
  <c r="J854" i="1" a="1"/>
  <c r="J854" i="1"/>
  <c r="J455" i="1" a="1"/>
  <c r="J455" i="1"/>
  <c r="J262" i="1" a="1"/>
  <c r="J262" i="1"/>
  <c r="J175" i="1" a="1"/>
  <c r="J175" i="1"/>
  <c r="J263" i="1" a="1"/>
  <c r="J263" i="1"/>
  <c r="J10" i="1" a="1"/>
  <c r="J10" i="1"/>
  <c r="J79" i="1" a="1"/>
  <c r="J79" i="1"/>
  <c r="J606" i="1" a="1"/>
  <c r="J606" i="1"/>
  <c r="J176" i="1" a="1"/>
  <c r="J176" i="1"/>
  <c r="J11" i="1" a="1"/>
  <c r="J11" i="1"/>
  <c r="J855" i="1" a="1"/>
  <c r="J855" i="1"/>
  <c r="J607" i="1" a="1"/>
  <c r="J607" i="1"/>
  <c r="J856" i="1" a="1"/>
  <c r="J856" i="1"/>
  <c r="J456" i="1" a="1"/>
  <c r="J456" i="1"/>
  <c r="J457" i="1" a="1"/>
  <c r="J457" i="1"/>
  <c r="J458" i="1" a="1"/>
  <c r="J458" i="1"/>
  <c r="J459" i="1" a="1"/>
  <c r="J459" i="1"/>
  <c r="J608" i="1" a="1"/>
  <c r="J608" i="1"/>
  <c r="J460" i="1" a="1"/>
  <c r="J460" i="1"/>
  <c r="J857" i="1" a="1"/>
  <c r="J857" i="1"/>
  <c r="J339" i="1" a="1"/>
  <c r="J339" i="1"/>
  <c r="J461" i="1" a="1"/>
  <c r="J461" i="1"/>
  <c r="J858" i="1" a="1"/>
  <c r="J858" i="1"/>
  <c r="J12" i="1" a="1"/>
  <c r="J12" i="1"/>
  <c r="J609" i="1" a="1"/>
  <c r="J609" i="1"/>
  <c r="J13" i="1" a="1"/>
  <c r="J13" i="1"/>
  <c r="J713" i="1" a="1"/>
  <c r="J713" i="1"/>
  <c r="J264" i="1" a="1"/>
  <c r="J264" i="1"/>
  <c r="J462" i="1" a="1"/>
  <c r="J462" i="1"/>
  <c r="J340" i="1" a="1"/>
  <c r="J340" i="1"/>
  <c r="J80" i="1" a="1"/>
  <c r="J80" i="1"/>
  <c r="J177" i="1" a="1"/>
  <c r="J177" i="1"/>
  <c r="J859" i="1" a="1"/>
  <c r="J859" i="1"/>
  <c r="J341" i="1" a="1"/>
  <c r="J341" i="1"/>
  <c r="J463" i="1" a="1"/>
  <c r="J463" i="1"/>
  <c r="J14" i="1" a="1"/>
  <c r="J14" i="1"/>
  <c r="J860" i="1" a="1"/>
  <c r="J860" i="1"/>
  <c r="J81" i="1" a="1"/>
  <c r="J81" i="1"/>
  <c r="J861" i="1" a="1"/>
  <c r="J861" i="1"/>
  <c r="J82" i="1" a="1"/>
  <c r="J82" i="1"/>
  <c r="J862" i="1" a="1"/>
  <c r="J862" i="1"/>
  <c r="J83" i="1" a="1"/>
  <c r="J83" i="1"/>
  <c r="J863" i="1" a="1"/>
  <c r="J863" i="1"/>
  <c r="J178" i="1" a="1"/>
  <c r="J178" i="1"/>
  <c r="J714" i="1" a="1"/>
  <c r="J714" i="1"/>
  <c r="J610" i="1" a="1"/>
  <c r="J610" i="1"/>
  <c r="J265" i="1" a="1"/>
  <c r="J265" i="1"/>
  <c r="J84" i="1" a="1"/>
  <c r="J84" i="1"/>
  <c r="J864" i="1" a="1"/>
  <c r="J864" i="1"/>
  <c r="J342" i="1" a="1"/>
  <c r="J342" i="1"/>
  <c r="J464" i="1" a="1"/>
  <c r="J464" i="1"/>
  <c r="J465" i="1" a="1"/>
  <c r="J465" i="1"/>
  <c r="J179" i="1" a="1"/>
  <c r="J179" i="1"/>
  <c r="J466" i="1" a="1"/>
  <c r="J466" i="1"/>
  <c r="J180" i="1" a="1"/>
  <c r="J180" i="1"/>
  <c r="J181" i="1" a="1"/>
  <c r="J181" i="1"/>
  <c r="J467" i="1" a="1"/>
  <c r="J467" i="1"/>
  <c r="J266" i="1" a="1"/>
  <c r="J266" i="1"/>
  <c r="J85" i="1" a="1"/>
  <c r="J85" i="1"/>
  <c r="J865" i="1" a="1"/>
  <c r="J865" i="1"/>
  <c r="J866" i="1" a="1"/>
  <c r="J866" i="1"/>
  <c r="J15" i="1" a="1"/>
  <c r="J15" i="1"/>
  <c r="J16" i="1" a="1"/>
  <c r="J16" i="1"/>
  <c r="J715" i="1" a="1"/>
  <c r="J715" i="1"/>
  <c r="J867" i="1" a="1"/>
  <c r="J867" i="1"/>
  <c r="J343" i="1" a="1"/>
  <c r="J343" i="1"/>
  <c r="J86" i="1" a="1"/>
  <c r="J86" i="1"/>
  <c r="J716" i="1" a="1"/>
  <c r="J716" i="1"/>
  <c r="J87" i="1" a="1"/>
  <c r="J87" i="1"/>
  <c r="J868" i="1" a="1"/>
  <c r="J868" i="1"/>
  <c r="J344" i="1" a="1"/>
  <c r="J344" i="1"/>
  <c r="J88" i="1" a="1"/>
  <c r="J88" i="1"/>
  <c r="J468" i="1" a="1"/>
  <c r="J468" i="1"/>
  <c r="J182" i="1" a="1"/>
  <c r="J182" i="1"/>
  <c r="J717" i="1" a="1"/>
  <c r="J717" i="1"/>
  <c r="J469" i="1" a="1"/>
  <c r="J469" i="1"/>
  <c r="J611" i="1" a="1"/>
  <c r="J611" i="1"/>
  <c r="J89" i="1" a="1"/>
  <c r="J89" i="1"/>
  <c r="J183" i="1" a="1"/>
  <c r="J183" i="1"/>
  <c r="J90" i="1" a="1"/>
  <c r="J90" i="1"/>
  <c r="J470" i="1" a="1"/>
  <c r="J470" i="1"/>
  <c r="J869" i="1" a="1"/>
  <c r="J869" i="1"/>
  <c r="J718" i="1" a="1"/>
  <c r="J718" i="1"/>
  <c r="J870" i="1" a="1"/>
  <c r="J870" i="1"/>
  <c r="J871" i="1" a="1"/>
  <c r="J871" i="1"/>
  <c r="J184" i="1" a="1"/>
  <c r="J184" i="1"/>
  <c r="J471" i="1" a="1"/>
  <c r="J471" i="1"/>
  <c r="J185" i="1" a="1"/>
  <c r="J185" i="1"/>
  <c r="J612" i="1" a="1"/>
  <c r="J612" i="1"/>
  <c r="J613" i="1" a="1"/>
  <c r="J613" i="1"/>
  <c r="J614" i="1" a="1"/>
  <c r="J614" i="1"/>
  <c r="J719" i="1" a="1"/>
  <c r="J719" i="1"/>
  <c r="J345" i="1" a="1"/>
  <c r="J345" i="1"/>
  <c r="J472" i="1" a="1"/>
  <c r="J472" i="1"/>
  <c r="J346" i="1" a="1"/>
  <c r="J346" i="1"/>
  <c r="J720" i="1" a="1"/>
  <c r="J720" i="1"/>
  <c r="J721" i="1" a="1"/>
  <c r="J721" i="1"/>
  <c r="J473" i="1" a="1"/>
  <c r="J473" i="1"/>
  <c r="J91" i="1" a="1"/>
  <c r="J91" i="1"/>
  <c r="J347" i="1" a="1"/>
  <c r="J347" i="1"/>
  <c r="J17" i="1" a="1"/>
  <c r="J17" i="1"/>
  <c r="J722" i="1" a="1"/>
  <c r="J722" i="1"/>
  <c r="J92" i="1" a="1"/>
  <c r="J92" i="1"/>
  <c r="J474" i="1" a="1"/>
  <c r="J474" i="1"/>
  <c r="J93" i="1" a="1"/>
  <c r="J93" i="1"/>
  <c r="J348" i="1" a="1"/>
  <c r="J348" i="1"/>
  <c r="J94" i="1" a="1"/>
  <c r="J94" i="1"/>
  <c r="J267" i="1" a="1"/>
  <c r="J267" i="1"/>
  <c r="J475" i="1" a="1"/>
  <c r="J475" i="1"/>
  <c r="J349" i="1" a="1"/>
  <c r="J349" i="1"/>
  <c r="J350" i="1" a="1"/>
  <c r="J350" i="1"/>
  <c r="J18" i="1" a="1"/>
  <c r="J18" i="1"/>
  <c r="J95" i="1" a="1"/>
  <c r="J95" i="1"/>
  <c r="J351" i="1" a="1"/>
  <c r="J351" i="1"/>
  <c r="J476" i="1" a="1"/>
  <c r="J476" i="1"/>
  <c r="J477" i="1" a="1"/>
  <c r="J477" i="1"/>
  <c r="J268" i="1" a="1"/>
  <c r="J268" i="1"/>
  <c r="J615" i="1" a="1"/>
  <c r="J615" i="1"/>
  <c r="J19" i="1" a="1"/>
  <c r="J19" i="1"/>
  <c r="J872" i="1" a="1"/>
  <c r="J872" i="1"/>
  <c r="J20" i="1" a="1"/>
  <c r="J20" i="1"/>
  <c r="J873" i="1" a="1"/>
  <c r="J873" i="1"/>
  <c r="J186" i="1" a="1"/>
  <c r="J186" i="1"/>
  <c r="J478" i="1" a="1"/>
  <c r="J478" i="1"/>
  <c r="J269" i="1" a="1"/>
  <c r="J269" i="1"/>
  <c r="J616" i="1" a="1"/>
  <c r="J616" i="1"/>
  <c r="J479" i="1" a="1"/>
  <c r="J479" i="1"/>
  <c r="J723" i="1" a="1"/>
  <c r="J723" i="1"/>
  <c r="J724" i="1" a="1"/>
  <c r="J724" i="1"/>
  <c r="J96" i="1" a="1"/>
  <c r="J96" i="1"/>
  <c r="J480" i="1" a="1"/>
  <c r="J480" i="1"/>
  <c r="J874" i="1" a="1"/>
  <c r="J874" i="1"/>
  <c r="J270" i="1" a="1"/>
  <c r="J270" i="1"/>
  <c r="J617" i="1" a="1"/>
  <c r="J617" i="1"/>
  <c r="J875" i="1" a="1"/>
  <c r="J875" i="1"/>
  <c r="J481" i="1" a="1"/>
  <c r="J481" i="1"/>
  <c r="J618" i="1" a="1"/>
  <c r="J618" i="1"/>
  <c r="J21" i="1" a="1"/>
  <c r="J21" i="1"/>
  <c r="J482" i="1" a="1"/>
  <c r="J482" i="1"/>
  <c r="J271" i="1" a="1"/>
  <c r="J271" i="1"/>
  <c r="J876" i="1" a="1"/>
  <c r="J876" i="1"/>
  <c r="J97" i="1" a="1"/>
  <c r="J97" i="1"/>
  <c r="J619" i="1" a="1"/>
  <c r="J619" i="1"/>
  <c r="J483" i="1" a="1"/>
  <c r="J483" i="1"/>
  <c r="J272" i="1" a="1"/>
  <c r="J272" i="1"/>
  <c r="J22" i="1" a="1"/>
  <c r="J22" i="1"/>
  <c r="J484" i="1" a="1"/>
  <c r="J484" i="1"/>
  <c r="J352" i="1" a="1"/>
  <c r="J352" i="1"/>
  <c r="J353" i="1" a="1"/>
  <c r="J353" i="1"/>
  <c r="J23" i="1" a="1"/>
  <c r="J23" i="1"/>
  <c r="J24" i="1" a="1"/>
  <c r="J24" i="1"/>
  <c r="J485" i="1" a="1"/>
  <c r="J485" i="1"/>
  <c r="J273" i="1" a="1"/>
  <c r="J273" i="1"/>
  <c r="J187" i="1" a="1"/>
  <c r="J187" i="1"/>
  <c r="J877" i="1" a="1"/>
  <c r="J877" i="1"/>
  <c r="J725" i="1" a="1"/>
  <c r="J725" i="1"/>
  <c r="J188" i="1" a="1"/>
  <c r="J188" i="1"/>
  <c r="J25" i="1" a="1"/>
  <c r="J25" i="1"/>
  <c r="J726" i="1" a="1"/>
  <c r="J726" i="1"/>
  <c r="J620" i="1" a="1"/>
  <c r="J620" i="1"/>
  <c r="J189" i="1" a="1"/>
  <c r="J189" i="1"/>
  <c r="J190" i="1" a="1"/>
  <c r="J190" i="1"/>
  <c r="J354" i="1" a="1"/>
  <c r="J354" i="1"/>
  <c r="J727" i="1" a="1"/>
  <c r="J727" i="1"/>
  <c r="J621" i="1" a="1"/>
  <c r="J621" i="1"/>
  <c r="J355" i="1" a="1"/>
  <c r="J355" i="1"/>
  <c r="J486" i="1" a="1"/>
  <c r="J486" i="1"/>
  <c r="J98" i="1" a="1"/>
  <c r="J98" i="1"/>
  <c r="J622" i="1" a="1"/>
  <c r="J622" i="1"/>
  <c r="J728" i="1" a="1"/>
  <c r="J728" i="1"/>
  <c r="J274" i="1" a="1"/>
  <c r="J274" i="1"/>
  <c r="J623" i="1" a="1"/>
  <c r="J623" i="1"/>
  <c r="J624" i="1" a="1"/>
  <c r="J624" i="1"/>
  <c r="J878" i="1" a="1"/>
  <c r="J878" i="1"/>
  <c r="J275" i="1" a="1"/>
  <c r="J275" i="1"/>
  <c r="J729" i="1" a="1"/>
  <c r="J729" i="1"/>
  <c r="J625" i="1" a="1"/>
  <c r="J625" i="1"/>
  <c r="J191" i="1" a="1"/>
  <c r="J191" i="1"/>
  <c r="J730" i="1" a="1"/>
  <c r="J730" i="1"/>
  <c r="J626" i="1" a="1"/>
  <c r="J626" i="1"/>
  <c r="J879" i="1" a="1"/>
  <c r="J879" i="1"/>
  <c r="J26" i="1" a="1"/>
  <c r="J26" i="1"/>
  <c r="J99" i="1" a="1"/>
  <c r="J99" i="1"/>
  <c r="J27" i="1" a="1"/>
  <c r="J27" i="1"/>
  <c r="J487" i="1" a="1"/>
  <c r="J487" i="1"/>
  <c r="J276" i="1" a="1"/>
  <c r="J276" i="1"/>
  <c r="J277" i="1" a="1"/>
  <c r="J277" i="1"/>
  <c r="J488" i="1" a="1"/>
  <c r="J488" i="1"/>
  <c r="J489" i="1" a="1"/>
  <c r="J489" i="1"/>
  <c r="J731" i="1" a="1"/>
  <c r="J731" i="1"/>
  <c r="J356" i="1" a="1"/>
  <c r="J356" i="1"/>
  <c r="J880" i="1" a="1"/>
  <c r="J880" i="1"/>
  <c r="J490" i="1" a="1"/>
  <c r="J490" i="1"/>
  <c r="J278" i="1" a="1"/>
  <c r="J278" i="1"/>
  <c r="J357" i="1" a="1"/>
  <c r="J357" i="1"/>
  <c r="J491" i="1" a="1"/>
  <c r="J491" i="1"/>
  <c r="J279" i="1" a="1"/>
  <c r="J279" i="1"/>
  <c r="J280" i="1" a="1"/>
  <c r="J280" i="1"/>
  <c r="J732" i="1" a="1"/>
  <c r="J732" i="1"/>
  <c r="J627" i="1" a="1"/>
  <c r="J627" i="1"/>
  <c r="J733" i="1" a="1"/>
  <c r="J733" i="1"/>
  <c r="J358" i="1" a="1"/>
  <c r="J358" i="1"/>
  <c r="J628" i="1" a="1"/>
  <c r="J628" i="1"/>
  <c r="J100" i="1" a="1"/>
  <c r="J100" i="1"/>
  <c r="J192" i="1" a="1"/>
  <c r="J192" i="1"/>
  <c r="J492" i="1" a="1"/>
  <c r="J492" i="1"/>
  <c r="J629" i="1" a="1"/>
  <c r="J629" i="1"/>
  <c r="J630" i="1" a="1"/>
  <c r="J630" i="1"/>
  <c r="J359" i="1" a="1"/>
  <c r="J359" i="1"/>
  <c r="J360" i="1" a="1"/>
  <c r="J360" i="1"/>
  <c r="J493" i="1" a="1"/>
  <c r="J493" i="1"/>
  <c r="J494" i="1" a="1"/>
  <c r="J494" i="1"/>
  <c r="J734" i="1" a="1"/>
  <c r="J734" i="1"/>
  <c r="J881" i="1" a="1"/>
  <c r="J881" i="1"/>
  <c r="J735" i="1" a="1"/>
  <c r="J735" i="1"/>
  <c r="J281" i="1" a="1"/>
  <c r="J281" i="1"/>
  <c r="J495" i="1" a="1"/>
  <c r="J495" i="1"/>
  <c r="J496" i="1" a="1"/>
  <c r="J496" i="1"/>
  <c r="J193" i="1" a="1"/>
  <c r="J193" i="1"/>
  <c r="J282" i="1" a="1"/>
  <c r="J282" i="1"/>
  <c r="J882" i="1" a="1"/>
  <c r="J882" i="1"/>
  <c r="J361" i="1" a="1"/>
  <c r="J361" i="1"/>
  <c r="J362" i="1" a="1"/>
  <c r="J362" i="1"/>
  <c r="J497" i="1" a="1"/>
  <c r="J497" i="1"/>
  <c r="J498" i="1" a="1"/>
  <c r="J498" i="1"/>
  <c r="J736" i="1" a="1"/>
  <c r="J736" i="1"/>
  <c r="J283" i="1" a="1"/>
  <c r="J283" i="1"/>
  <c r="J737" i="1" a="1"/>
  <c r="J737" i="1"/>
  <c r="J363" i="1" a="1"/>
  <c r="J363" i="1"/>
  <c r="J883" i="1" a="1"/>
  <c r="J883" i="1"/>
  <c r="J194" i="1" a="1"/>
  <c r="J194" i="1"/>
  <c r="J738" i="1" a="1"/>
  <c r="J738" i="1"/>
  <c r="J739" i="1" a="1"/>
  <c r="J739" i="1"/>
  <c r="J499" i="1" a="1"/>
  <c r="J499" i="1"/>
  <c r="J195" i="1" a="1"/>
  <c r="J195" i="1"/>
  <c r="J364" i="1" a="1"/>
  <c r="J364" i="1"/>
  <c r="J884" i="1" a="1"/>
  <c r="J884" i="1"/>
  <c r="J885" i="1" a="1"/>
  <c r="J885" i="1"/>
  <c r="J365" i="1" a="1"/>
  <c r="J365" i="1"/>
  <c r="J101" i="1" a="1"/>
  <c r="J101" i="1"/>
  <c r="J631" i="1" a="1"/>
  <c r="J631" i="1"/>
  <c r="J886" i="1" a="1"/>
  <c r="J886" i="1"/>
  <c r="J740" i="1" a="1"/>
  <c r="J740" i="1"/>
  <c r="J366" i="1" a="1"/>
  <c r="J366" i="1"/>
  <c r="J367" i="1" a="1"/>
  <c r="J367" i="1"/>
  <c r="J632" i="1" a="1"/>
  <c r="J632" i="1"/>
  <c r="J633" i="1" a="1"/>
  <c r="J633" i="1"/>
  <c r="J284" i="1" a="1"/>
  <c r="J284" i="1"/>
  <c r="J634" i="1" a="1"/>
  <c r="J634" i="1"/>
  <c r="J28" i="1" a="1"/>
  <c r="J28" i="1"/>
  <c r="J368" i="1" a="1"/>
  <c r="J368" i="1"/>
  <c r="J196" i="1" a="1"/>
  <c r="J196" i="1"/>
  <c r="J102" i="1" a="1"/>
  <c r="J102" i="1"/>
  <c r="J887" i="1" a="1"/>
  <c r="J887" i="1"/>
  <c r="J103" i="1" a="1"/>
  <c r="J103" i="1"/>
  <c r="J888" i="1" a="1"/>
  <c r="J888" i="1"/>
  <c r="J104" i="1" a="1"/>
  <c r="J104" i="1"/>
  <c r="J889" i="1" a="1"/>
  <c r="J889" i="1"/>
  <c r="J105" i="1" a="1"/>
  <c r="J105" i="1"/>
  <c r="J890" i="1" a="1"/>
  <c r="J890" i="1"/>
  <c r="J106" i="1" a="1"/>
  <c r="J106" i="1"/>
  <c r="J369" i="1" a="1"/>
  <c r="J369" i="1"/>
  <c r="J741" i="1" a="1"/>
  <c r="J741" i="1"/>
  <c r="J500" i="1" a="1"/>
  <c r="J500" i="1"/>
  <c r="J370" i="1" a="1"/>
  <c r="J370" i="1"/>
  <c r="J635" i="1" a="1"/>
  <c r="J635" i="1"/>
  <c r="J891" i="1" a="1"/>
  <c r="J891" i="1"/>
  <c r="J29" i="1" a="1"/>
  <c r="J29" i="1"/>
  <c r="J30" i="1" a="1"/>
  <c r="J30" i="1"/>
  <c r="J636" i="1" a="1"/>
  <c r="J636" i="1"/>
  <c r="J31" i="1" a="1"/>
  <c r="J31" i="1"/>
  <c r="J742" i="1" a="1"/>
  <c r="J742" i="1"/>
  <c r="J371" i="1" a="1"/>
  <c r="J371" i="1"/>
  <c r="J197" i="1" a="1"/>
  <c r="J197" i="1"/>
  <c r="J198" i="1" a="1"/>
  <c r="J198" i="1"/>
  <c r="J743" i="1" a="1"/>
  <c r="J743" i="1"/>
  <c r="J372" i="1" a="1"/>
  <c r="J372" i="1"/>
  <c r="J744" i="1" a="1"/>
  <c r="J744" i="1"/>
  <c r="J892" i="1" a="1"/>
  <c r="J892" i="1"/>
  <c r="J893" i="1" a="1"/>
  <c r="J893" i="1"/>
  <c r="J894" i="1" a="1"/>
  <c r="J894" i="1"/>
  <c r="J637" i="1" a="1"/>
  <c r="J637" i="1"/>
  <c r="J638" i="1" a="1"/>
  <c r="J638" i="1"/>
  <c r="J199" i="1" a="1"/>
  <c r="J199" i="1"/>
  <c r="J373" i="1" a="1"/>
  <c r="J373" i="1"/>
  <c r="J639" i="1" a="1"/>
  <c r="J639" i="1"/>
  <c r="J32" i="1" a="1"/>
  <c r="J32" i="1"/>
  <c r="J745" i="1" a="1"/>
  <c r="J745" i="1"/>
  <c r="J285" i="1" a="1"/>
  <c r="J285" i="1"/>
  <c r="J895" i="1" a="1"/>
  <c r="J895" i="1"/>
  <c r="J896" i="1" a="1"/>
  <c r="J896" i="1"/>
  <c r="J374" i="1" a="1"/>
  <c r="J374" i="1"/>
  <c r="J375" i="1" a="1"/>
  <c r="J375" i="1"/>
  <c r="J501" i="1" a="1"/>
  <c r="J501" i="1"/>
  <c r="J376" i="1" a="1"/>
  <c r="J376" i="1"/>
  <c r="J502" i="1" a="1"/>
  <c r="J502" i="1"/>
  <c r="J33" i="1" a="1"/>
  <c r="J33" i="1"/>
  <c r="J897" i="1" a="1"/>
  <c r="J897" i="1"/>
  <c r="J34" i="1" a="1"/>
  <c r="J34" i="1"/>
  <c r="J640" i="1" a="1"/>
  <c r="J640" i="1"/>
  <c r="J746" i="1" a="1"/>
  <c r="J746" i="1"/>
  <c r="J377" i="1" a="1"/>
  <c r="J377" i="1"/>
  <c r="J286" i="1" a="1"/>
  <c r="J286" i="1"/>
  <c r="J287" i="1" a="1"/>
  <c r="J287" i="1"/>
  <c r="J503" i="1" a="1"/>
  <c r="J503" i="1"/>
  <c r="J107" i="1" a="1"/>
  <c r="J107" i="1"/>
  <c r="J898" i="1" a="1"/>
  <c r="J898" i="1"/>
  <c r="J747" i="1" a="1"/>
  <c r="J747" i="1"/>
  <c r="J108" i="1" a="1"/>
  <c r="J108" i="1"/>
  <c r="J35" i="1" a="1"/>
  <c r="J35" i="1"/>
  <c r="J200" i="1" a="1"/>
  <c r="J200" i="1"/>
  <c r="J899" i="1" a="1"/>
  <c r="J899" i="1"/>
  <c r="J109" i="1" a="1"/>
  <c r="J109" i="1"/>
  <c r="J201" i="1" a="1"/>
  <c r="J201" i="1"/>
  <c r="J900" i="1" a="1"/>
  <c r="J900" i="1"/>
  <c r="J110" i="1" a="1"/>
  <c r="J110" i="1"/>
  <c r="J111" i="1" a="1"/>
  <c r="J111" i="1"/>
  <c r="J378" i="1" a="1"/>
  <c r="J378" i="1"/>
  <c r="J379" i="1" a="1"/>
  <c r="J379" i="1"/>
  <c r="J288" i="1" a="1"/>
  <c r="J288" i="1"/>
  <c r="J748" i="1" a="1"/>
  <c r="J748" i="1"/>
  <c r="J749" i="1" a="1"/>
  <c r="J749" i="1"/>
  <c r="J641" i="1" a="1"/>
  <c r="J641" i="1"/>
  <c r="J642" i="1" a="1"/>
  <c r="J642" i="1"/>
  <c r="J380" i="1" a="1"/>
  <c r="J380" i="1"/>
  <c r="J643" i="1" a="1"/>
  <c r="J643" i="1"/>
  <c r="J381" i="1" a="1"/>
  <c r="J381" i="1"/>
  <c r="J901" i="1" a="1"/>
  <c r="J901" i="1"/>
  <c r="J902" i="1" a="1"/>
  <c r="J902" i="1"/>
  <c r="J36" i="1" a="1"/>
  <c r="J36" i="1"/>
  <c r="J903" i="1" a="1"/>
  <c r="J903" i="1"/>
  <c r="J904" i="1" a="1"/>
  <c r="J904" i="1"/>
  <c r="J382" i="1" a="1"/>
  <c r="J382" i="1"/>
  <c r="J750" i="1" a="1"/>
  <c r="J750" i="1"/>
  <c r="J202" i="1" a="1"/>
  <c r="J202" i="1"/>
  <c r="J644" i="1" a="1"/>
  <c r="J644" i="1"/>
  <c r="J905" i="1" a="1"/>
  <c r="J905" i="1"/>
  <c r="J37" i="1" a="1"/>
  <c r="J37" i="1"/>
  <c r="J751" i="1" a="1"/>
  <c r="J751" i="1"/>
  <c r="J752" i="1" a="1"/>
  <c r="J752" i="1"/>
  <c r="J906" i="1" a="1"/>
  <c r="J906" i="1"/>
  <c r="J203" i="1" a="1"/>
  <c r="J203" i="1"/>
  <c r="J112" i="1" a="1"/>
  <c r="J112" i="1"/>
  <c r="J113" i="1" a="1"/>
  <c r="J113" i="1"/>
  <c r="J204" i="1" a="1"/>
  <c r="J204" i="1"/>
  <c r="J38" i="1" a="1"/>
  <c r="J38" i="1"/>
  <c r="J753" i="1" a="1"/>
  <c r="J753" i="1"/>
  <c r="J205" i="1" a="1"/>
  <c r="J205" i="1"/>
  <c r="J907" i="1" a="1"/>
  <c r="J907" i="1"/>
  <c r="J383" i="1" a="1"/>
  <c r="J383" i="1"/>
  <c r="J289" i="1" a="1"/>
  <c r="J289" i="1"/>
  <c r="J39" i="1" a="1"/>
  <c r="J39" i="1"/>
  <c r="J645" i="1" a="1"/>
  <c r="J645" i="1"/>
  <c r="J908" i="1" a="1"/>
  <c r="J908" i="1"/>
  <c r="J114" i="1" a="1"/>
  <c r="J114" i="1"/>
  <c r="J115" i="1" a="1"/>
  <c r="J115" i="1"/>
  <c r="J909" i="1" a="1"/>
  <c r="J909" i="1"/>
  <c r="J910" i="1" a="1"/>
  <c r="J910" i="1"/>
  <c r="J40" i="1" a="1"/>
  <c r="J40" i="1"/>
  <c r="J384" i="1" a="1"/>
  <c r="J384" i="1"/>
  <c r="J646" i="1" a="1"/>
  <c r="J646" i="1"/>
  <c r="J41" i="1" a="1"/>
  <c r="J41" i="1"/>
  <c r="J911" i="1" a="1"/>
  <c r="J911" i="1"/>
  <c r="J504" i="1" a="1"/>
  <c r="J504" i="1"/>
  <c r="J116" i="1" a="1"/>
  <c r="J116" i="1"/>
  <c r="J505" i="1" a="1"/>
  <c r="J505" i="1"/>
  <c r="J912" i="1" a="1"/>
  <c r="J912" i="1"/>
  <c r="J754" i="1" a="1"/>
  <c r="J754" i="1"/>
  <c r="J755" i="1" a="1"/>
  <c r="J755" i="1"/>
  <c r="J506" i="1" a="1"/>
  <c r="J506" i="1"/>
  <c r="J507" i="1" a="1"/>
  <c r="J507" i="1"/>
  <c r="J647" i="1" a="1"/>
  <c r="J647" i="1"/>
  <c r="J648" i="1" a="1"/>
  <c r="J648" i="1"/>
  <c r="J913" i="1" a="1"/>
  <c r="J913" i="1"/>
  <c r="J385" i="1" a="1"/>
  <c r="J385" i="1"/>
  <c r="J914" i="1" a="1"/>
  <c r="J914" i="1"/>
  <c r="J386" i="1" a="1"/>
  <c r="J386" i="1"/>
  <c r="J915" i="1" a="1"/>
  <c r="J915" i="1"/>
  <c r="J916" i="1" a="1"/>
  <c r="J916" i="1"/>
  <c r="J508" i="1" a="1"/>
  <c r="J508" i="1"/>
  <c r="J509" i="1" a="1"/>
  <c r="J509" i="1"/>
  <c r="J649" i="1" a="1"/>
  <c r="J649" i="1"/>
  <c r="J510" i="1" a="1"/>
  <c r="J510" i="1"/>
  <c r="J511" i="1" a="1"/>
  <c r="J511" i="1"/>
  <c r="J756" i="1" a="1"/>
  <c r="J756" i="1"/>
  <c r="J206" i="1" a="1"/>
  <c r="J206" i="1"/>
  <c r="J512" i="1" a="1"/>
  <c r="J512" i="1"/>
  <c r="J513" i="1" a="1"/>
  <c r="J513" i="1"/>
  <c r="J387" i="1" a="1"/>
  <c r="J387" i="1"/>
  <c r="J650" i="1" a="1"/>
  <c r="J650" i="1"/>
  <c r="J651" i="1" a="1"/>
  <c r="J651" i="1"/>
  <c r="J514" i="1" a="1"/>
  <c r="J514" i="1"/>
  <c r="J917" i="1" a="1"/>
  <c r="J917" i="1"/>
  <c r="J918" i="1" a="1"/>
  <c r="J918" i="1"/>
  <c r="J515" i="1" a="1"/>
  <c r="J515" i="1"/>
  <c r="J516" i="1" a="1"/>
  <c r="J516" i="1"/>
  <c r="J919" i="1" a="1"/>
  <c r="J919" i="1"/>
  <c r="J207" i="1" a="1"/>
  <c r="J207" i="1"/>
  <c r="J920" i="1" a="1"/>
  <c r="J920" i="1"/>
  <c r="J757" i="1" a="1"/>
  <c r="J757" i="1"/>
  <c r="J921" i="1" a="1"/>
  <c r="J921" i="1"/>
  <c r="J922" i="1" a="1"/>
  <c r="J922" i="1"/>
  <c r="J923" i="1" a="1"/>
  <c r="J923" i="1"/>
  <c r="J117" i="1" a="1"/>
  <c r="J117" i="1"/>
  <c r="J924" i="1" a="1"/>
  <c r="J924" i="1"/>
  <c r="J517" i="1" a="1"/>
  <c r="J517" i="1"/>
  <c r="J42" i="1" a="1"/>
  <c r="J42" i="1"/>
  <c r="J925" i="1" a="1"/>
  <c r="J925" i="1"/>
  <c r="J758" i="1" a="1"/>
  <c r="J758" i="1"/>
  <c r="J652" i="1" a="1"/>
  <c r="J652" i="1"/>
  <c r="J518" i="1" a="1"/>
  <c r="J518" i="1"/>
  <c r="J519" i="1" a="1"/>
  <c r="J519" i="1"/>
  <c r="J118" i="1" a="1"/>
  <c r="J118" i="1"/>
  <c r="J653" i="1" a="1"/>
  <c r="J653" i="1"/>
  <c r="J290" i="1" a="1"/>
  <c r="J290" i="1"/>
  <c r="J654" i="1" a="1"/>
  <c r="J654" i="1"/>
  <c r="J520" i="1" a="1"/>
  <c r="J520" i="1"/>
  <c r="J119" i="1" a="1"/>
  <c r="J119" i="1"/>
  <c r="J655" i="1" a="1"/>
  <c r="J655" i="1"/>
  <c r="J208" i="1" a="1"/>
  <c r="J208" i="1"/>
  <c r="J43" i="1" a="1"/>
  <c r="J43" i="1"/>
  <c r="J44" i="1" a="1"/>
  <c r="J44" i="1"/>
  <c r="J521" i="1" a="1"/>
  <c r="J521" i="1"/>
  <c r="J388" i="1" a="1"/>
  <c r="J388" i="1"/>
  <c r="J389" i="1" a="1"/>
  <c r="J389" i="1"/>
  <c r="J120" i="1" a="1"/>
  <c r="J120" i="1"/>
  <c r="J522" i="1" a="1"/>
  <c r="J522" i="1"/>
  <c r="J523" i="1" a="1"/>
  <c r="J523" i="1"/>
  <c r="J926" i="1" a="1"/>
  <c r="J926" i="1"/>
  <c r="J45" i="1" a="1"/>
  <c r="J45" i="1"/>
  <c r="J927" i="1" a="1"/>
  <c r="J927" i="1"/>
  <c r="J291" i="1" a="1"/>
  <c r="J291" i="1"/>
  <c r="J46" i="1" a="1"/>
  <c r="J46" i="1"/>
  <c r="J656" i="1" a="1"/>
  <c r="J656" i="1"/>
  <c r="J928" i="1" a="1"/>
  <c r="J928" i="1"/>
  <c r="J929" i="1" a="1"/>
  <c r="J929" i="1"/>
  <c r="J292" i="1" a="1"/>
  <c r="J292" i="1"/>
  <c r="J121" i="1" a="1"/>
  <c r="J121" i="1"/>
  <c r="J759" i="1" a="1"/>
  <c r="J759" i="1"/>
  <c r="J293" i="1" a="1"/>
  <c r="J293" i="1"/>
  <c r="J390" i="1" a="1"/>
  <c r="J390" i="1"/>
  <c r="J930" i="1" a="1"/>
  <c r="J930" i="1"/>
  <c r="J760" i="1" a="1"/>
  <c r="J760" i="1"/>
  <c r="J657" i="1" a="1"/>
  <c r="J657" i="1"/>
  <c r="J391" i="1" a="1"/>
  <c r="J391" i="1"/>
  <c r="J392" i="1" a="1"/>
  <c r="J392" i="1"/>
  <c r="J931" i="1" a="1"/>
  <c r="J931" i="1"/>
  <c r="J524" i="1" a="1"/>
  <c r="J524" i="1"/>
  <c r="J525" i="1" a="1"/>
  <c r="J525" i="1"/>
  <c r="J526" i="1" a="1"/>
  <c r="J526" i="1"/>
  <c r="J122" i="1" a="1"/>
  <c r="J122" i="1"/>
  <c r="J761" i="1" a="1"/>
  <c r="J761" i="1"/>
  <c r="J932" i="1" a="1"/>
  <c r="J932" i="1"/>
  <c r="J658" i="1" a="1"/>
  <c r="J658" i="1"/>
  <c r="J762" i="1" a="1"/>
  <c r="J762" i="1"/>
  <c r="J933" i="1" a="1"/>
  <c r="J933" i="1"/>
  <c r="J527" i="1" a="1"/>
  <c r="J527" i="1"/>
  <c r="J934" i="1" a="1"/>
  <c r="J934" i="1"/>
  <c r="J528" i="1" a="1"/>
  <c r="J528" i="1"/>
  <c r="J294" i="1" a="1"/>
  <c r="J294" i="1"/>
  <c r="J659" i="1" a="1"/>
  <c r="J659" i="1"/>
  <c r="J47" i="1" a="1"/>
  <c r="J47" i="1"/>
  <c r="J393" i="1" a="1"/>
  <c r="J393" i="1"/>
  <c r="J529" i="1" a="1"/>
  <c r="J529" i="1"/>
  <c r="J209" i="1" a="1"/>
  <c r="J209" i="1"/>
  <c r="J935" i="1" a="1"/>
  <c r="J935" i="1"/>
  <c r="J936" i="1" a="1"/>
  <c r="J936" i="1"/>
  <c r="J763" i="1" a="1"/>
  <c r="J763" i="1"/>
  <c r="J530" i="1" a="1"/>
  <c r="J530" i="1"/>
  <c r="J937" i="1" a="1"/>
  <c r="J937" i="1"/>
  <c r="J660" i="1" a="1"/>
  <c r="J660" i="1"/>
  <c r="J295" i="1" a="1"/>
  <c r="J295" i="1"/>
  <c r="J764" i="1" a="1"/>
  <c r="J764" i="1"/>
  <c r="J661" i="1" a="1"/>
  <c r="J661" i="1"/>
  <c r="J210" i="1" a="1"/>
  <c r="J210" i="1"/>
  <c r="J296" i="1" a="1"/>
  <c r="J296" i="1"/>
  <c r="J394" i="1" a="1"/>
  <c r="J394" i="1"/>
  <c r="J662" i="1" a="1"/>
  <c r="J662" i="1"/>
  <c r="J297" i="1" a="1"/>
  <c r="J297" i="1"/>
  <c r="J211" i="1" a="1"/>
  <c r="J211" i="1"/>
  <c r="J663" i="1" a="1"/>
  <c r="J663" i="1"/>
  <c r="J938" i="1" a="1"/>
  <c r="J938" i="1"/>
  <c r="J664" i="1" a="1"/>
  <c r="J664" i="1"/>
  <c r="J395" i="1" a="1"/>
  <c r="J395" i="1"/>
  <c r="J396" i="1" a="1"/>
  <c r="J396" i="1"/>
  <c r="J212" i="1" a="1"/>
  <c r="J212" i="1"/>
  <c r="J298" i="1" a="1"/>
  <c r="J298" i="1"/>
  <c r="J397" i="1" a="1"/>
  <c r="J397" i="1"/>
  <c r="J123" i="1" a="1"/>
  <c r="J123" i="1"/>
  <c r="J398" i="1" a="1"/>
  <c r="J398" i="1"/>
  <c r="J531" i="1" a="1"/>
  <c r="J531" i="1"/>
  <c r="J399" i="1" a="1"/>
  <c r="J399" i="1"/>
  <c r="J939" i="1" a="1"/>
  <c r="J939" i="1"/>
  <c r="J940" i="1" a="1"/>
  <c r="J940" i="1"/>
  <c r="J48" i="1" a="1"/>
  <c r="J48" i="1"/>
  <c r="J213" i="1" a="1"/>
  <c r="J213" i="1"/>
  <c r="J124" i="1" a="1"/>
  <c r="J124" i="1"/>
  <c r="J941" i="1" a="1"/>
  <c r="J941" i="1"/>
  <c r="J532" i="1" a="1"/>
  <c r="J532" i="1"/>
  <c r="J942" i="1" a="1"/>
  <c r="J942" i="1"/>
  <c r="J214" i="1" a="1"/>
  <c r="J214" i="1"/>
  <c r="J533" i="1" a="1"/>
  <c r="J533" i="1"/>
  <c r="J49" i="1" a="1"/>
  <c r="J49" i="1"/>
  <c r="J125" i="1" a="1"/>
  <c r="J125" i="1"/>
  <c r="J299" i="1" a="1"/>
  <c r="J299" i="1"/>
  <c r="J400" i="1" a="1"/>
  <c r="J400" i="1"/>
  <c r="J943" i="1" a="1"/>
  <c r="J943" i="1"/>
  <c r="J126" i="1" a="1"/>
  <c r="J126" i="1"/>
  <c r="J665" i="1" a="1"/>
  <c r="J665" i="1"/>
  <c r="J215" i="1" a="1"/>
  <c r="J215" i="1"/>
  <c r="J401" i="1" a="1"/>
  <c r="J401" i="1"/>
  <c r="J765" i="1" a="1"/>
  <c r="J765" i="1"/>
  <c r="J300" i="1" a="1"/>
  <c r="J300" i="1"/>
  <c r="J944" i="1" a="1"/>
  <c r="J944" i="1"/>
  <c r="J945" i="1" a="1"/>
  <c r="J945" i="1"/>
  <c r="J766" i="1" a="1"/>
  <c r="J766" i="1"/>
  <c r="J127" i="1" a="1"/>
  <c r="J127" i="1"/>
  <c r="J216" i="1" a="1"/>
  <c r="J216" i="1"/>
  <c r="J767" i="1" a="1"/>
  <c r="J767" i="1"/>
  <c r="J666" i="1" a="1"/>
  <c r="J666" i="1"/>
  <c r="J667" i="1" a="1"/>
  <c r="J667" i="1"/>
  <c r="J217" i="1" a="1"/>
  <c r="J217" i="1"/>
  <c r="J534" i="1" a="1"/>
  <c r="J534" i="1"/>
  <c r="J768" i="1" a="1"/>
  <c r="J768" i="1"/>
  <c r="J402" i="1" a="1"/>
  <c r="J402" i="1"/>
  <c r="J403" i="1" a="1"/>
  <c r="J403" i="1"/>
  <c r="J769" i="1" a="1"/>
  <c r="J769" i="1"/>
  <c r="J128" i="1" a="1"/>
  <c r="J128" i="1"/>
  <c r="J535" i="1" a="1"/>
  <c r="J535" i="1"/>
  <c r="J770" i="1" a="1"/>
  <c r="J770" i="1"/>
  <c r="J536" i="1" a="1"/>
  <c r="J536" i="1"/>
  <c r="J129" i="1" a="1"/>
  <c r="J129" i="1"/>
  <c r="J668" i="1" a="1"/>
  <c r="J668" i="1"/>
  <c r="J218" i="1" a="1"/>
  <c r="J218" i="1"/>
  <c r="J404" i="1" a="1"/>
  <c r="J404" i="1"/>
  <c r="J537" i="1" a="1"/>
  <c r="J537" i="1"/>
  <c r="J538" i="1" a="1"/>
  <c r="J538" i="1"/>
  <c r="J946" i="1" a="1"/>
  <c r="J946" i="1"/>
  <c r="J219" i="1" a="1"/>
  <c r="J219" i="1"/>
  <c r="J669" i="1" a="1"/>
  <c r="J669" i="1"/>
  <c r="J947" i="1" a="1"/>
  <c r="J947" i="1"/>
  <c r="J405" i="1" a="1"/>
  <c r="J405" i="1"/>
  <c r="J771" i="1" a="1"/>
  <c r="J771" i="1"/>
  <c r="J670" i="1" a="1"/>
  <c r="J670" i="1"/>
  <c r="J772" i="1" a="1"/>
  <c r="J772" i="1"/>
  <c r="J671" i="1" a="1"/>
  <c r="J671" i="1"/>
  <c r="J672" i="1" a="1"/>
  <c r="J672" i="1"/>
  <c r="J406" i="1" a="1"/>
  <c r="J406" i="1"/>
  <c r="J539" i="1" a="1"/>
  <c r="J539" i="1"/>
  <c r="J948" i="1" a="1"/>
  <c r="J948" i="1"/>
  <c r="J220" i="1" a="1"/>
  <c r="J220" i="1"/>
  <c r="J221" i="1" a="1"/>
  <c r="J221" i="1"/>
  <c r="J407" i="1" a="1"/>
  <c r="J407" i="1"/>
  <c r="J50" i="1" a="1"/>
  <c r="J50" i="1"/>
  <c r="J773" i="1" a="1"/>
  <c r="J773" i="1"/>
  <c r="J301" i="1" a="1"/>
  <c r="J301" i="1"/>
  <c r="J130" i="1" a="1"/>
  <c r="J130" i="1"/>
  <c r="J222" i="1" a="1"/>
  <c r="J222" i="1"/>
  <c r="J949" i="1" a="1"/>
  <c r="J949" i="1"/>
  <c r="J950" i="1" a="1"/>
  <c r="J950" i="1"/>
  <c r="J673" i="1" a="1"/>
  <c r="J673" i="1"/>
  <c r="J408" i="1" a="1"/>
  <c r="J408" i="1"/>
  <c r="J674" i="1" a="1"/>
  <c r="J674" i="1"/>
  <c r="J774" i="1" a="1"/>
  <c r="J774" i="1"/>
  <c r="J775" i="1" a="1"/>
  <c r="J775" i="1"/>
  <c r="J409" i="1" a="1"/>
  <c r="J409" i="1"/>
  <c r="J131" i="1" a="1"/>
  <c r="J131" i="1"/>
  <c r="J132" i="1" a="1"/>
  <c r="J132" i="1"/>
  <c r="J133" i="1" a="1"/>
  <c r="J133" i="1"/>
  <c r="J540" i="1" a="1"/>
  <c r="J540" i="1"/>
  <c r="J541" i="1" a="1"/>
  <c r="J541" i="1"/>
  <c r="J51" i="1" a="1"/>
  <c r="J51" i="1"/>
  <c r="J776" i="1" a="1"/>
  <c r="J776" i="1"/>
  <c r="J410" i="1" a="1"/>
  <c r="J410" i="1"/>
  <c r="J411" i="1" a="1"/>
  <c r="J411" i="1"/>
  <c r="J223" i="1" a="1"/>
  <c r="J223" i="1"/>
  <c r="J542" i="1" a="1"/>
  <c r="J542" i="1"/>
  <c r="J777" i="1" a="1"/>
  <c r="J777" i="1"/>
  <c r="J778" i="1" a="1"/>
  <c r="J778" i="1"/>
  <c r="J543" i="1" a="1"/>
  <c r="J543" i="1"/>
  <c r="J134" i="1" a="1"/>
  <c r="J134" i="1"/>
  <c r="J412" i="1" a="1"/>
  <c r="J412" i="1"/>
  <c r="J135" i="1" a="1"/>
  <c r="J135" i="1"/>
  <c r="J52" i="1" a="1"/>
  <c r="J52" i="1"/>
  <c r="J951" i="1" a="1"/>
  <c r="J951" i="1"/>
  <c r="J302" i="1" a="1"/>
  <c r="J302" i="1"/>
  <c r="J675" i="1" a="1"/>
  <c r="J675" i="1"/>
  <c r="J303" i="1" a="1"/>
  <c r="J303" i="1"/>
  <c r="J136" i="1" a="1"/>
  <c r="J136" i="1"/>
  <c r="J544" i="1" a="1"/>
  <c r="J544" i="1"/>
  <c r="J304" i="1" a="1"/>
  <c r="J304" i="1"/>
  <c r="J224" i="1" a="1"/>
  <c r="J224" i="1"/>
  <c r="J779" i="1" a="1"/>
  <c r="J779" i="1"/>
  <c r="J780" i="1" a="1"/>
  <c r="J780" i="1"/>
  <c r="J413" i="1" a="1"/>
  <c r="J413" i="1"/>
  <c r="J225" i="1" a="1"/>
  <c r="J225" i="1"/>
  <c r="J781" i="1" a="1"/>
  <c r="J781" i="1"/>
  <c r="J782" i="1" a="1"/>
  <c r="J782" i="1"/>
  <c r="J305" i="1" a="1"/>
  <c r="J305" i="1"/>
  <c r="J414" i="1" a="1"/>
  <c r="J414" i="1"/>
  <c r="J415" i="1" a="1"/>
  <c r="J415" i="1"/>
  <c r="J783" i="1" a="1"/>
  <c r="J783" i="1"/>
  <c r="J226" i="1" a="1"/>
  <c r="J226" i="1"/>
  <c r="J784" i="1" a="1"/>
  <c r="J784" i="1"/>
  <c r="J137" i="1" a="1"/>
  <c r="J137" i="1"/>
  <c r="J306" i="1" a="1"/>
  <c r="J306" i="1"/>
  <c r="J227" i="1" a="1"/>
  <c r="J227" i="1"/>
  <c r="J138" i="1" a="1"/>
  <c r="J138" i="1"/>
  <c r="J785" i="1" a="1"/>
  <c r="J785" i="1"/>
  <c r="J545" i="1" a="1"/>
  <c r="J545" i="1"/>
  <c r="J676" i="1" a="1"/>
  <c r="J676" i="1"/>
  <c r="J416" i="1" a="1"/>
  <c r="J416" i="1"/>
  <c r="J307" i="1" a="1"/>
  <c r="J307" i="1"/>
  <c r="J952" i="1" a="1"/>
  <c r="J952" i="1"/>
  <c r="J228" i="1" a="1"/>
  <c r="J228" i="1"/>
  <c r="J546" i="1" a="1"/>
  <c r="J546" i="1"/>
  <c r="J308" i="1" a="1"/>
  <c r="J308" i="1"/>
  <c r="J953" i="1" a="1"/>
  <c r="J953" i="1"/>
  <c r="J547" i="1" a="1"/>
  <c r="J547" i="1"/>
  <c r="J548" i="1" a="1"/>
  <c r="J548" i="1"/>
  <c r="J954" i="1" a="1"/>
  <c r="J954" i="1"/>
  <c r="J786" i="1" a="1"/>
  <c r="J786" i="1"/>
  <c r="J955" i="1" a="1"/>
  <c r="J955" i="1"/>
  <c r="J677" i="1" a="1"/>
  <c r="J677" i="1"/>
  <c r="J678" i="1" a="1"/>
  <c r="J678" i="1"/>
  <c r="J956" i="1" a="1"/>
  <c r="J956" i="1"/>
  <c r="J229" i="1" a="1"/>
  <c r="J229" i="1"/>
  <c r="J957" i="1" a="1"/>
  <c r="J957" i="1"/>
  <c r="J309" i="1" a="1"/>
  <c r="J309" i="1"/>
  <c r="J549" i="1" a="1"/>
  <c r="J549" i="1"/>
  <c r="J550" i="1" a="1"/>
  <c r="J550" i="1"/>
  <c r="J417" i="1" a="1"/>
  <c r="J417" i="1"/>
  <c r="J787" i="1" a="1"/>
  <c r="J787" i="1"/>
  <c r="J958" i="1" a="1"/>
  <c r="J958" i="1"/>
  <c r="J788" i="1" a="1"/>
  <c r="J788" i="1"/>
  <c r="J551" i="1" a="1"/>
  <c r="J551" i="1"/>
  <c r="J679" i="1" a="1"/>
  <c r="J679" i="1"/>
  <c r="J959" i="1" a="1"/>
  <c r="J959" i="1"/>
  <c r="J53" i="1" a="1"/>
  <c r="J53" i="1"/>
  <c r="J230" i="1" a="1"/>
  <c r="J230" i="1"/>
  <c r="J231" i="1" a="1"/>
  <c r="J231" i="1"/>
  <c r="J960" i="1" a="1"/>
  <c r="J960" i="1"/>
  <c r="J552" i="1" a="1"/>
  <c r="J552" i="1"/>
  <c r="J553" i="1" a="1"/>
  <c r="J553" i="1"/>
  <c r="J310" i="1" a="1"/>
  <c r="J310" i="1"/>
  <c r="J232" i="1" a="1"/>
  <c r="J232" i="1"/>
  <c r="J554" i="1" a="1"/>
  <c r="J554" i="1"/>
  <c r="J680" i="1" a="1"/>
  <c r="J680" i="1"/>
  <c r="J311" i="1" a="1"/>
  <c r="J311" i="1"/>
  <c r="J681" i="1" a="1"/>
  <c r="J681" i="1"/>
  <c r="J233" i="1" a="1"/>
  <c r="J233" i="1"/>
  <c r="J961" i="1" a="1"/>
  <c r="J961" i="1"/>
  <c r="J962" i="1" a="1"/>
  <c r="J962" i="1"/>
  <c r="J234" i="1" a="1"/>
  <c r="J234" i="1"/>
  <c r="J235" i="1" a="1"/>
  <c r="J235" i="1"/>
  <c r="J789" i="1" a="1"/>
  <c r="J789" i="1"/>
  <c r="J790" i="1" a="1"/>
  <c r="J790" i="1"/>
  <c r="J963" i="1" a="1"/>
  <c r="J963" i="1"/>
  <c r="J139" i="1" a="1"/>
  <c r="J139" i="1"/>
  <c r="J791" i="1" a="1"/>
  <c r="J791" i="1"/>
  <c r="J555" i="1" a="1"/>
  <c r="J555" i="1"/>
  <c r="J236" i="1" a="1"/>
  <c r="J236" i="1"/>
  <c r="J556" i="1" a="1"/>
  <c r="J556" i="1"/>
  <c r="J237" i="1" a="1"/>
  <c r="J237" i="1"/>
  <c r="J792" i="1" a="1"/>
  <c r="J792" i="1"/>
  <c r="J418" i="1" a="1"/>
  <c r="J418" i="1"/>
  <c r="J793" i="1" a="1"/>
  <c r="J793" i="1"/>
  <c r="J794" i="1" a="1"/>
  <c r="J794" i="1"/>
  <c r="J682" i="1" a="1"/>
  <c r="J682" i="1"/>
  <c r="J795" i="1" a="1"/>
  <c r="J795" i="1"/>
  <c r="J419" i="1" a="1"/>
  <c r="J419" i="1"/>
  <c r="J140" i="1" a="1"/>
  <c r="J140" i="1"/>
  <c r="J964" i="1" a="1"/>
  <c r="J964" i="1"/>
  <c r="J557" i="1" a="1"/>
  <c r="J557" i="1"/>
  <c r="J141" i="1" a="1"/>
  <c r="J141" i="1"/>
  <c r="J796" i="1" a="1"/>
  <c r="J796" i="1"/>
  <c r="J965" i="1" a="1"/>
  <c r="J965" i="1"/>
  <c r="J312" i="1" a="1"/>
  <c r="J312" i="1"/>
  <c r="J238" i="1" a="1"/>
  <c r="J238" i="1"/>
  <c r="J239" i="1" a="1"/>
  <c r="J239" i="1"/>
  <c r="J558" i="1" a="1"/>
  <c r="J558" i="1"/>
  <c r="J966" i="1" a="1"/>
  <c r="J966" i="1"/>
  <c r="J967" i="1" a="1"/>
  <c r="J967" i="1"/>
  <c r="J797" i="1" a="1"/>
  <c r="J797" i="1"/>
  <c r="J559" i="1" a="1"/>
  <c r="J559" i="1"/>
  <c r="J798" i="1" a="1"/>
  <c r="J798" i="1"/>
  <c r="J799" i="1" a="1"/>
  <c r="J799" i="1"/>
  <c r="J800" i="1" a="1"/>
  <c r="J800" i="1"/>
  <c r="J683" i="1" a="1"/>
  <c r="J683" i="1"/>
  <c r="J801" i="1" a="1"/>
  <c r="J801" i="1"/>
  <c r="J802" i="1" a="1"/>
  <c r="J802" i="1"/>
  <c r="J803" i="1" a="1"/>
  <c r="J803" i="1"/>
  <c r="J240" i="1" a="1"/>
  <c r="J240" i="1"/>
  <c r="J241" i="1" a="1"/>
  <c r="J241" i="1"/>
  <c r="J968" i="1" a="1"/>
  <c r="J968" i="1"/>
  <c r="J969" i="1" a="1"/>
  <c r="J969" i="1"/>
  <c r="J242" i="1" a="1"/>
  <c r="J242" i="1"/>
  <c r="J560" i="1" a="1"/>
  <c r="J560" i="1"/>
  <c r="J420" i="1" a="1"/>
  <c r="J420" i="1"/>
  <c r="J804" i="1" a="1"/>
  <c r="J804" i="1"/>
  <c r="J805" i="1" a="1"/>
  <c r="J805" i="1"/>
  <c r="J970" i="1" a="1"/>
  <c r="J970" i="1"/>
  <c r="J971" i="1" a="1"/>
  <c r="J971" i="1"/>
  <c r="J806" i="1" a="1"/>
  <c r="J806" i="1"/>
  <c r="J243" i="1" a="1"/>
  <c r="J243" i="1"/>
  <c r="J421" i="1" a="1"/>
  <c r="J421" i="1"/>
  <c r="J807" i="1" a="1"/>
  <c r="J807" i="1"/>
  <c r="J684" i="1" a="1"/>
  <c r="J684" i="1"/>
  <c r="J972" i="1" a="1"/>
  <c r="J972" i="1"/>
  <c r="J973" i="1" a="1"/>
  <c r="J973" i="1"/>
  <c r="J808" i="1" a="1"/>
  <c r="J808" i="1"/>
  <c r="J561" i="1" a="1"/>
  <c r="J561" i="1"/>
  <c r="J685" i="1" a="1"/>
  <c r="J685" i="1"/>
  <c r="J686" i="1" a="1"/>
  <c r="J686" i="1"/>
  <c r="J562" i="1" a="1"/>
  <c r="J562" i="1"/>
  <c r="J687" i="1" a="1"/>
  <c r="J687" i="1"/>
  <c r="J142" i="1" a="1"/>
  <c r="J142" i="1"/>
  <c r="J974" i="1" a="1"/>
  <c r="J974" i="1"/>
  <c r="J975" i="1" a="1"/>
  <c r="J975" i="1"/>
  <c r="J54" i="1" a="1"/>
  <c r="J54" i="1"/>
  <c r="J244" i="1" a="1"/>
  <c r="J244" i="1"/>
  <c r="J809" i="1" a="1"/>
  <c r="J809" i="1"/>
  <c r="J563" i="1" a="1"/>
  <c r="J563" i="1"/>
  <c r="J55" i="1" a="1"/>
  <c r="J55" i="1"/>
  <c r="J422" i="1" a="1"/>
  <c r="J422" i="1"/>
  <c r="J564" i="1" a="1"/>
  <c r="J564" i="1"/>
  <c r="J56" i="1" a="1"/>
  <c r="J56" i="1"/>
  <c r="J565" i="1" a="1"/>
  <c r="J565" i="1"/>
  <c r="J976" i="1" a="1"/>
  <c r="J976" i="1"/>
  <c r="J313" i="1" a="1"/>
  <c r="J313" i="1"/>
  <c r="J314" i="1" a="1"/>
  <c r="J314" i="1"/>
  <c r="J143" i="1" a="1"/>
  <c r="J143" i="1"/>
  <c r="J810" i="1" a="1"/>
  <c r="J810" i="1"/>
  <c r="J811" i="1" a="1"/>
  <c r="J811" i="1"/>
  <c r="J688" i="1" a="1"/>
  <c r="J688" i="1"/>
  <c r="J423" i="1" a="1"/>
  <c r="J423" i="1"/>
  <c r="J144" i="1" a="1"/>
  <c r="J144" i="1"/>
  <c r="J977" i="1" a="1"/>
  <c r="J977" i="1"/>
  <c r="J315" i="1" a="1"/>
  <c r="J315" i="1"/>
  <c r="J566" i="1" a="1"/>
  <c r="J566" i="1"/>
  <c r="J145" i="1" a="1"/>
  <c r="J145" i="1"/>
  <c r="J567" i="1" a="1"/>
  <c r="J567" i="1"/>
  <c r="J316" i="1" a="1"/>
  <c r="J316" i="1"/>
  <c r="J317" i="1" a="1"/>
  <c r="J317" i="1"/>
  <c r="J689" i="1" a="1"/>
  <c r="J689" i="1"/>
  <c r="J245" i="1" a="1"/>
  <c r="J245" i="1"/>
  <c r="J978" i="1" a="1"/>
  <c r="J978" i="1"/>
  <c r="J146" i="1" a="1"/>
  <c r="J146" i="1"/>
  <c r="J812" i="1" a="1"/>
  <c r="J812" i="1"/>
  <c r="J318" i="1" a="1"/>
  <c r="J318" i="1"/>
  <c r="J424" i="1" a="1"/>
  <c r="J424" i="1"/>
  <c r="J147" i="1" a="1"/>
  <c r="J147" i="1"/>
  <c r="J979" i="1" a="1"/>
  <c r="J979" i="1"/>
  <c r="J813" i="1" a="1"/>
  <c r="J813" i="1"/>
  <c r="J319" i="1" a="1"/>
  <c r="J319" i="1"/>
  <c r="J57" i="1" a="1"/>
  <c r="J57" i="1"/>
  <c r="J320" i="1" a="1"/>
  <c r="J320" i="1"/>
  <c r="J321" i="1" a="1"/>
  <c r="J321" i="1"/>
  <c r="J148" i="1" a="1"/>
  <c r="J148" i="1"/>
  <c r="J980" i="1" a="1"/>
  <c r="J980" i="1"/>
  <c r="J690" i="1" a="1"/>
  <c r="J690" i="1"/>
  <c r="J149" i="1" a="1"/>
  <c r="J149" i="1"/>
  <c r="J568" i="1" a="1"/>
  <c r="J568" i="1"/>
  <c r="J814" i="1" a="1"/>
  <c r="J814" i="1"/>
  <c r="J425" i="1" a="1"/>
  <c r="J425" i="1"/>
  <c r="J981" i="1" a="1"/>
  <c r="J981" i="1"/>
  <c r="J569" i="1" a="1"/>
  <c r="J569" i="1"/>
  <c r="J570" i="1" a="1"/>
  <c r="J570" i="1"/>
  <c r="J322" i="1" a="1"/>
  <c r="J322" i="1"/>
  <c r="J982" i="1" a="1"/>
  <c r="J982" i="1"/>
  <c r="J426" i="1" a="1"/>
  <c r="J426" i="1"/>
  <c r="J427" i="1" a="1"/>
  <c r="J427" i="1"/>
  <c r="J571" i="1" a="1"/>
  <c r="J571" i="1"/>
  <c r="J815" i="1" a="1"/>
  <c r="J815" i="1"/>
  <c r="J572" i="1" a="1"/>
  <c r="J572" i="1"/>
  <c r="J323" i="1" a="1"/>
  <c r="J323" i="1"/>
  <c r="J324" i="1" a="1"/>
  <c r="J324" i="1"/>
  <c r="J983" i="1" a="1"/>
  <c r="J983" i="1"/>
  <c r="J816" i="1" a="1"/>
  <c r="J816" i="1"/>
  <c r="J817" i="1" a="1"/>
  <c r="J817" i="1"/>
  <c r="J58" i="1" a="1"/>
  <c r="J58" i="1"/>
  <c r="J150" i="1" a="1"/>
  <c r="J150" i="1"/>
  <c r="J691" i="1" a="1"/>
  <c r="J691" i="1"/>
  <c r="J573" i="1" a="1"/>
  <c r="J573" i="1"/>
  <c r="J574" i="1" a="1"/>
  <c r="J574" i="1"/>
  <c r="J325" i="1" a="1"/>
  <c r="J325" i="1"/>
  <c r="J326" i="1" a="1"/>
  <c r="J326" i="1"/>
  <c r="J984" i="1" a="1"/>
  <c r="J984" i="1"/>
  <c r="J818" i="1" a="1"/>
  <c r="J818" i="1"/>
  <c r="J59" i="1" a="1"/>
  <c r="J59" i="1"/>
  <c r="J151" i="1" a="1"/>
  <c r="J151" i="1"/>
  <c r="J327" i="1" a="1"/>
  <c r="J327" i="1"/>
  <c r="J575" i="1" a="1"/>
  <c r="J575" i="1"/>
  <c r="J152" i="1" a="1"/>
  <c r="J152" i="1"/>
  <c r="J246" i="1" a="1"/>
  <c r="J246" i="1"/>
  <c r="J328" i="1" a="1"/>
  <c r="J328" i="1"/>
  <c r="J692" i="1" a="1"/>
  <c r="J692" i="1"/>
  <c r="J153" i="1" a="1"/>
  <c r="J153" i="1"/>
  <c r="J247" i="1" a="1"/>
  <c r="J247" i="1"/>
  <c r="J576" i="1" a="1"/>
  <c r="J576" i="1"/>
  <c r="J819" i="1" a="1"/>
  <c r="J819" i="1"/>
  <c r="J693" i="1" a="1"/>
  <c r="J693" i="1"/>
  <c r="J60" i="1" a="1"/>
  <c r="J60" i="1"/>
  <c r="J577" i="1" a="1"/>
  <c r="J577" i="1"/>
  <c r="J985" i="1" a="1"/>
  <c r="J985" i="1"/>
  <c r="J61" i="1" a="1"/>
  <c r="J61" i="1"/>
  <c r="J820" i="1" a="1"/>
  <c r="J820" i="1"/>
  <c r="J986" i="1" a="1"/>
  <c r="J986" i="1"/>
  <c r="J578" i="1" a="1"/>
  <c r="J578" i="1"/>
  <c r="J62" i="1" a="1"/>
  <c r="J62" i="1"/>
  <c r="J248" i="1" a="1"/>
  <c r="J248" i="1"/>
  <c r="J987" i="1" a="1"/>
  <c r="J987" i="1"/>
  <c r="J154" i="1" a="1"/>
  <c r="J154" i="1"/>
  <c r="J428" i="1" a="1"/>
  <c r="J428" i="1"/>
  <c r="J579" i="1" a="1"/>
  <c r="J579" i="1"/>
  <c r="J988" i="1" a="1"/>
  <c r="J988" i="1"/>
  <c r="J694" i="1" a="1"/>
  <c r="J694" i="1"/>
  <c r="J429" i="1" a="1"/>
  <c r="J429" i="1"/>
  <c r="J155" i="1" a="1"/>
  <c r="J155" i="1"/>
  <c r="J430" i="1" a="1"/>
  <c r="J430" i="1"/>
  <c r="J580" i="1" a="1"/>
  <c r="J580" i="1"/>
  <c r="J989" i="1" a="1"/>
  <c r="J989" i="1"/>
  <c r="J821" i="1" a="1"/>
  <c r="J821" i="1"/>
  <c r="J431" i="1" a="1"/>
  <c r="J431" i="1"/>
  <c r="J63" i="1" a="1"/>
  <c r="J63" i="1"/>
  <c r="J990" i="1" a="1"/>
  <c r="J990" i="1"/>
  <c r="J581" i="1" a="1"/>
  <c r="J581" i="1"/>
  <c r="J249" i="1" a="1"/>
  <c r="J249" i="1"/>
  <c r="J156" i="1" a="1"/>
  <c r="J156" i="1"/>
  <c r="J991" i="1" a="1"/>
  <c r="J991" i="1"/>
  <c r="J432" i="1" a="1"/>
  <c r="J432" i="1"/>
  <c r="J433" i="1" a="1"/>
  <c r="J433" i="1"/>
  <c r="J992" i="1" a="1"/>
  <c r="J992" i="1"/>
  <c r="J822" i="1" a="1"/>
  <c r="J822" i="1"/>
  <c r="J823" i="1" a="1"/>
  <c r="J823" i="1"/>
  <c r="J993" i="1" a="1"/>
  <c r="J993" i="1"/>
  <c r="J824" i="1" a="1"/>
  <c r="J824" i="1"/>
  <c r="J825" i="1" a="1"/>
  <c r="J825" i="1"/>
  <c r="J250" i="1" a="1"/>
  <c r="J250" i="1"/>
  <c r="J434" i="1" a="1"/>
  <c r="J434" i="1"/>
  <c r="J695" i="1" a="1"/>
  <c r="J695" i="1"/>
  <c r="J696" i="1" a="1"/>
  <c r="J696" i="1"/>
  <c r="J435" i="1" a="1"/>
  <c r="J435" i="1"/>
  <c r="J826" i="1" a="1"/>
  <c r="J826" i="1"/>
  <c r="J582" i="1" a="1"/>
  <c r="J582" i="1"/>
  <c r="J251" i="1" a="1"/>
  <c r="J251" i="1"/>
  <c r="J157" i="1" a="1"/>
  <c r="J157" i="1"/>
  <c r="J697" i="1" a="1"/>
  <c r="J697" i="1"/>
  <c r="J994" i="1" a="1"/>
  <c r="J994" i="1"/>
  <c r="J436" i="1" a="1"/>
  <c r="J436" i="1"/>
  <c r="J995" i="1" a="1"/>
  <c r="J995" i="1"/>
  <c r="J827" i="1" a="1"/>
  <c r="J827" i="1"/>
  <c r="J583" i="1" a="1"/>
  <c r="J583" i="1"/>
  <c r="J996" i="1" a="1"/>
  <c r="J996" i="1"/>
  <c r="J828" i="1" a="1"/>
  <c r="J828" i="1"/>
  <c r="J64" i="1" a="1"/>
  <c r="J64" i="1"/>
  <c r="J584" i="1" a="1"/>
  <c r="J584" i="1"/>
  <c r="J997" i="1" a="1"/>
  <c r="J997" i="1"/>
  <c r="J585" i="1" a="1"/>
  <c r="J585" i="1"/>
  <c r="J65" i="1" a="1"/>
  <c r="J65" i="1"/>
  <c r="J829" i="1" a="1"/>
  <c r="J829" i="1"/>
  <c r="J698" i="1" a="1"/>
  <c r="J698" i="1"/>
  <c r="J998" i="1" a="1"/>
  <c r="J998" i="1"/>
  <c r="J586" i="1" a="1"/>
  <c r="J586" i="1"/>
  <c r="J830" i="1" a="1"/>
  <c r="J830" i="1"/>
  <c r="J999" i="1" a="1"/>
  <c r="J999" i="1"/>
  <c r="J158" i="1" a="1"/>
  <c r="J158" i="1"/>
  <c r="J587" i="1" a="1"/>
  <c r="J587" i="1"/>
  <c r="J159" i="1" a="1"/>
  <c r="J159" i="1"/>
  <c r="J588" i="1" a="1"/>
  <c r="J588" i="1"/>
  <c r="J160" i="1" a="1"/>
  <c r="J160" i="1"/>
  <c r="J252" i="1" a="1"/>
  <c r="J252" i="1"/>
  <c r="J437" i="1" a="1"/>
  <c r="J437" i="1"/>
  <c r="J831" i="1" a="1"/>
  <c r="J831" i="1"/>
  <c r="J329" i="1" a="1"/>
  <c r="J329" i="1"/>
  <c r="J1000" i="1" a="1"/>
  <c r="J1000" i="1"/>
  <c r="J1001" i="1" a="1"/>
  <c r="J1001" i="1"/>
  <c r="J832" i="1" a="1"/>
  <c r="J83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3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2" i="1"/>
  <c r="R21" i="1"/>
  <c r="R22" i="1"/>
  <c r="S20" i="1"/>
  <c r="Q20" i="1" a="1"/>
  <c r="Q20" i="1"/>
  <c r="Q13" i="1" a="1"/>
  <c r="Q13" i="1"/>
  <c r="N3" i="1"/>
  <c r="N4" i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93" i="1"/>
  <c r="O93" i="1" s="1"/>
  <c r="N94" i="1"/>
  <c r="O94" i="1" s="1"/>
  <c r="N95" i="1"/>
  <c r="O95" i="1" s="1"/>
  <c r="N96" i="1"/>
  <c r="O96" i="1" s="1"/>
  <c r="N97" i="1"/>
  <c r="O97" i="1" s="1"/>
  <c r="N98" i="1"/>
  <c r="O98" i="1" s="1"/>
  <c r="N99" i="1"/>
  <c r="O99" i="1" s="1"/>
  <c r="N100" i="1"/>
  <c r="O100" i="1" s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30" i="1"/>
  <c r="O130" i="1" s="1"/>
  <c r="N131" i="1"/>
  <c r="O131" i="1" s="1"/>
  <c r="N132" i="1"/>
  <c r="O132" i="1" s="1"/>
  <c r="N133" i="1"/>
  <c r="O133" i="1" s="1"/>
  <c r="N134" i="1"/>
  <c r="O134" i="1" s="1"/>
  <c r="N135" i="1"/>
  <c r="O135" i="1" s="1"/>
  <c r="N136" i="1"/>
  <c r="O136" i="1" s="1"/>
  <c r="N137" i="1"/>
  <c r="O137" i="1" s="1"/>
  <c r="N138" i="1"/>
  <c r="O138" i="1" s="1"/>
  <c r="N139" i="1"/>
  <c r="O139" i="1" s="1"/>
  <c r="N140" i="1"/>
  <c r="O140" i="1" s="1"/>
  <c r="N141" i="1"/>
  <c r="O141" i="1" s="1"/>
  <c r="N142" i="1"/>
  <c r="O142" i="1" s="1"/>
  <c r="N143" i="1"/>
  <c r="O143" i="1" s="1"/>
  <c r="N144" i="1"/>
  <c r="O144" i="1" s="1"/>
  <c r="N145" i="1"/>
  <c r="O145" i="1" s="1"/>
  <c r="N146" i="1"/>
  <c r="O146" i="1" s="1"/>
  <c r="N147" i="1"/>
  <c r="O147" i="1" s="1"/>
  <c r="N148" i="1"/>
  <c r="O148" i="1" s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57" i="1"/>
  <c r="O157" i="1" s="1"/>
  <c r="N158" i="1"/>
  <c r="O158" i="1" s="1"/>
  <c r="N159" i="1"/>
  <c r="O159" i="1" s="1"/>
  <c r="N160" i="1"/>
  <c r="O160" i="1" s="1"/>
  <c r="N161" i="1"/>
  <c r="O161" i="1" s="1"/>
  <c r="N162" i="1"/>
  <c r="O162" i="1" s="1"/>
  <c r="N163" i="1"/>
  <c r="O163" i="1" s="1"/>
  <c r="N164" i="1"/>
  <c r="O164" i="1" s="1"/>
  <c r="N165" i="1"/>
  <c r="O165" i="1" s="1"/>
  <c r="N166" i="1"/>
  <c r="O166" i="1" s="1"/>
  <c r="N167" i="1"/>
  <c r="O167" i="1" s="1"/>
  <c r="N168" i="1"/>
  <c r="O168" i="1" s="1"/>
  <c r="N169" i="1"/>
  <c r="O169" i="1" s="1"/>
  <c r="N170" i="1"/>
  <c r="O170" i="1" s="1"/>
  <c r="N171" i="1"/>
  <c r="O171" i="1" s="1"/>
  <c r="N172" i="1"/>
  <c r="O172" i="1" s="1"/>
  <c r="N173" i="1"/>
  <c r="O173" i="1" s="1"/>
  <c r="N174" i="1"/>
  <c r="O174" i="1" s="1"/>
  <c r="N175" i="1"/>
  <c r="O175" i="1" s="1"/>
  <c r="N176" i="1"/>
  <c r="O176" i="1" s="1"/>
  <c r="N177" i="1"/>
  <c r="O177" i="1" s="1"/>
  <c r="N178" i="1"/>
  <c r="O178" i="1" s="1"/>
  <c r="N179" i="1"/>
  <c r="O179" i="1" s="1"/>
  <c r="N180" i="1"/>
  <c r="O180" i="1" s="1"/>
  <c r="N181" i="1"/>
  <c r="O181" i="1" s="1"/>
  <c r="N182" i="1"/>
  <c r="O182" i="1" s="1"/>
  <c r="N183" i="1"/>
  <c r="O183" i="1" s="1"/>
  <c r="N184" i="1"/>
  <c r="O184" i="1" s="1"/>
  <c r="N185" i="1"/>
  <c r="O185" i="1" s="1"/>
  <c r="N186" i="1"/>
  <c r="O186" i="1" s="1"/>
  <c r="N187" i="1"/>
  <c r="O187" i="1" s="1"/>
  <c r="N188" i="1"/>
  <c r="O188" i="1" s="1"/>
  <c r="N189" i="1"/>
  <c r="O189" i="1" s="1"/>
  <c r="N190" i="1"/>
  <c r="O190" i="1" s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 s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O203" i="1" s="1"/>
  <c r="N204" i="1"/>
  <c r="O204" i="1" s="1"/>
  <c r="N205" i="1"/>
  <c r="O205" i="1" s="1"/>
  <c r="N206" i="1"/>
  <c r="O206" i="1" s="1"/>
  <c r="N207" i="1"/>
  <c r="O207" i="1" s="1"/>
  <c r="N208" i="1"/>
  <c r="O208" i="1" s="1"/>
  <c r="N209" i="1"/>
  <c r="O209" i="1" s="1"/>
  <c r="N210" i="1"/>
  <c r="O210" i="1" s="1"/>
  <c r="N211" i="1"/>
  <c r="O211" i="1" s="1"/>
  <c r="N212" i="1"/>
  <c r="O212" i="1" s="1"/>
  <c r="N213" i="1"/>
  <c r="O213" i="1" s="1"/>
  <c r="N214" i="1"/>
  <c r="O214" i="1" s="1"/>
  <c r="N215" i="1"/>
  <c r="O215" i="1" s="1"/>
  <c r="N216" i="1"/>
  <c r="O216" i="1" s="1"/>
  <c r="N217" i="1"/>
  <c r="O217" i="1" s="1"/>
  <c r="N218" i="1"/>
  <c r="O218" i="1" s="1"/>
  <c r="N219" i="1"/>
  <c r="O219" i="1" s="1"/>
  <c r="N220" i="1"/>
  <c r="O220" i="1" s="1"/>
  <c r="N221" i="1"/>
  <c r="O221" i="1" s="1"/>
  <c r="N222" i="1"/>
  <c r="O222" i="1" s="1"/>
  <c r="N223" i="1"/>
  <c r="O223" i="1" s="1"/>
  <c r="N224" i="1"/>
  <c r="O224" i="1" s="1"/>
  <c r="N225" i="1"/>
  <c r="O225" i="1" s="1"/>
  <c r="N226" i="1"/>
  <c r="O226" i="1" s="1"/>
  <c r="N227" i="1"/>
  <c r="O227" i="1" s="1"/>
  <c r="N228" i="1"/>
  <c r="O228" i="1" s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O235" i="1" s="1"/>
  <c r="N236" i="1"/>
  <c r="O236" i="1" s="1"/>
  <c r="N237" i="1"/>
  <c r="O237" i="1" s="1"/>
  <c r="N238" i="1"/>
  <c r="O238" i="1" s="1"/>
  <c r="N239" i="1"/>
  <c r="O239" i="1" s="1"/>
  <c r="N240" i="1"/>
  <c r="O240" i="1" s="1"/>
  <c r="N241" i="1"/>
  <c r="O241" i="1" s="1"/>
  <c r="N242" i="1"/>
  <c r="O242" i="1" s="1"/>
  <c r="N243" i="1"/>
  <c r="O243" i="1" s="1"/>
  <c r="N244" i="1"/>
  <c r="O244" i="1" s="1"/>
  <c r="N245" i="1"/>
  <c r="O245" i="1" s="1"/>
  <c r="N246" i="1"/>
  <c r="O246" i="1" s="1"/>
  <c r="N247" i="1"/>
  <c r="O247" i="1" s="1"/>
  <c r="N248" i="1"/>
  <c r="O248" i="1" s="1"/>
  <c r="N249" i="1"/>
  <c r="O249" i="1" s="1"/>
  <c r="N250" i="1"/>
  <c r="O250" i="1" s="1"/>
  <c r="N251" i="1"/>
  <c r="O251" i="1" s="1"/>
  <c r="N252" i="1"/>
  <c r="O252" i="1" s="1"/>
  <c r="N253" i="1"/>
  <c r="O253" i="1" s="1"/>
  <c r="N254" i="1"/>
  <c r="O254" i="1" s="1"/>
  <c r="N255" i="1"/>
  <c r="O255" i="1" s="1"/>
  <c r="N256" i="1"/>
  <c r="O256" i="1" s="1"/>
  <c r="N257" i="1"/>
  <c r="O257" i="1" s="1"/>
  <c r="N258" i="1"/>
  <c r="O258" i="1" s="1"/>
  <c r="N259" i="1"/>
  <c r="O259" i="1" s="1"/>
  <c r="N260" i="1"/>
  <c r="O260" i="1" s="1"/>
  <c r="N261" i="1"/>
  <c r="O261" i="1" s="1"/>
  <c r="N262" i="1"/>
  <c r="O262" i="1" s="1"/>
  <c r="N263" i="1"/>
  <c r="O263" i="1" s="1"/>
  <c r="N264" i="1"/>
  <c r="O264" i="1" s="1"/>
  <c r="N265" i="1"/>
  <c r="O265" i="1" s="1"/>
  <c r="N266" i="1"/>
  <c r="O266" i="1" s="1"/>
  <c r="N267" i="1"/>
  <c r="O267" i="1" s="1"/>
  <c r="N268" i="1"/>
  <c r="O268" i="1" s="1"/>
  <c r="N269" i="1"/>
  <c r="O269" i="1" s="1"/>
  <c r="N270" i="1"/>
  <c r="O270" i="1" s="1"/>
  <c r="N271" i="1"/>
  <c r="O271" i="1" s="1"/>
  <c r="N272" i="1"/>
  <c r="O272" i="1" s="1"/>
  <c r="N273" i="1"/>
  <c r="O273" i="1" s="1"/>
  <c r="N274" i="1"/>
  <c r="O274" i="1" s="1"/>
  <c r="N275" i="1"/>
  <c r="O275" i="1" s="1"/>
  <c r="N276" i="1"/>
  <c r="O276" i="1" s="1"/>
  <c r="N277" i="1"/>
  <c r="O277" i="1" s="1"/>
  <c r="N278" i="1"/>
  <c r="O278" i="1" s="1"/>
  <c r="N279" i="1"/>
  <c r="O279" i="1" s="1"/>
  <c r="N280" i="1"/>
  <c r="O280" i="1" s="1"/>
  <c r="N281" i="1"/>
  <c r="O281" i="1" s="1"/>
  <c r="N282" i="1"/>
  <c r="O282" i="1" s="1"/>
  <c r="N283" i="1"/>
  <c r="O283" i="1" s="1"/>
  <c r="N284" i="1"/>
  <c r="O284" i="1" s="1"/>
  <c r="N285" i="1"/>
  <c r="O285" i="1" s="1"/>
  <c r="N286" i="1"/>
  <c r="O286" i="1" s="1"/>
  <c r="N287" i="1"/>
  <c r="O287" i="1" s="1"/>
  <c r="N288" i="1"/>
  <c r="O288" i="1" s="1"/>
  <c r="N289" i="1"/>
  <c r="O289" i="1" s="1"/>
  <c r="N290" i="1"/>
  <c r="O290" i="1" s="1"/>
  <c r="N291" i="1"/>
  <c r="O291" i="1" s="1"/>
  <c r="N292" i="1"/>
  <c r="O292" i="1" s="1"/>
  <c r="N293" i="1"/>
  <c r="O293" i="1" s="1"/>
  <c r="N294" i="1"/>
  <c r="O294" i="1" s="1"/>
  <c r="N295" i="1"/>
  <c r="O295" i="1" s="1"/>
  <c r="N296" i="1"/>
  <c r="O296" i="1" s="1"/>
  <c r="N297" i="1"/>
  <c r="O297" i="1" s="1"/>
  <c r="N298" i="1"/>
  <c r="O298" i="1" s="1"/>
  <c r="N299" i="1"/>
  <c r="O299" i="1" s="1"/>
  <c r="N300" i="1"/>
  <c r="O300" i="1" s="1"/>
  <c r="N301" i="1"/>
  <c r="O301" i="1" s="1"/>
  <c r="N302" i="1"/>
  <c r="O302" i="1" s="1"/>
  <c r="N303" i="1"/>
  <c r="O303" i="1" s="1"/>
  <c r="N304" i="1"/>
  <c r="O304" i="1" s="1"/>
  <c r="N305" i="1"/>
  <c r="O305" i="1" s="1"/>
  <c r="N306" i="1"/>
  <c r="O306" i="1" s="1"/>
  <c r="N307" i="1"/>
  <c r="O307" i="1" s="1"/>
  <c r="N308" i="1"/>
  <c r="O308" i="1" s="1"/>
  <c r="N309" i="1"/>
  <c r="O309" i="1" s="1"/>
  <c r="N310" i="1"/>
  <c r="O310" i="1" s="1"/>
  <c r="N311" i="1"/>
  <c r="O311" i="1" s="1"/>
  <c r="N312" i="1"/>
  <c r="O312" i="1" s="1"/>
  <c r="N313" i="1"/>
  <c r="O313" i="1" s="1"/>
  <c r="N314" i="1"/>
  <c r="O314" i="1" s="1"/>
  <c r="N315" i="1"/>
  <c r="O315" i="1" s="1"/>
  <c r="N316" i="1"/>
  <c r="O316" i="1" s="1"/>
  <c r="N317" i="1"/>
  <c r="O317" i="1" s="1"/>
  <c r="N318" i="1"/>
  <c r="O318" i="1" s="1"/>
  <c r="N319" i="1"/>
  <c r="O319" i="1" s="1"/>
  <c r="N320" i="1"/>
  <c r="O320" i="1" s="1"/>
  <c r="N321" i="1"/>
  <c r="O321" i="1" s="1"/>
  <c r="N322" i="1"/>
  <c r="O322" i="1" s="1"/>
  <c r="N323" i="1"/>
  <c r="O323" i="1" s="1"/>
  <c r="N324" i="1"/>
  <c r="O324" i="1" s="1"/>
  <c r="N325" i="1"/>
  <c r="O325" i="1" s="1"/>
  <c r="N326" i="1"/>
  <c r="O326" i="1" s="1"/>
  <c r="N327" i="1"/>
  <c r="O327" i="1" s="1"/>
  <c r="N328" i="1"/>
  <c r="O328" i="1" s="1"/>
  <c r="N329" i="1"/>
  <c r="O329" i="1" s="1"/>
  <c r="N330" i="1"/>
  <c r="O330" i="1" s="1"/>
  <c r="N331" i="1"/>
  <c r="O331" i="1" s="1"/>
  <c r="N332" i="1"/>
  <c r="O332" i="1" s="1"/>
  <c r="N333" i="1"/>
  <c r="O333" i="1" s="1"/>
  <c r="N334" i="1"/>
  <c r="O334" i="1" s="1"/>
  <c r="N335" i="1"/>
  <c r="O335" i="1" s="1"/>
  <c r="N336" i="1"/>
  <c r="O336" i="1" s="1"/>
  <c r="N337" i="1"/>
  <c r="O337" i="1" s="1"/>
  <c r="N338" i="1"/>
  <c r="O338" i="1" s="1"/>
  <c r="N339" i="1"/>
  <c r="O339" i="1" s="1"/>
  <c r="N340" i="1"/>
  <c r="O340" i="1" s="1"/>
  <c r="N341" i="1"/>
  <c r="O341" i="1" s="1"/>
  <c r="N342" i="1"/>
  <c r="O342" i="1" s="1"/>
  <c r="N343" i="1"/>
  <c r="O343" i="1" s="1"/>
  <c r="N344" i="1"/>
  <c r="O344" i="1" s="1"/>
  <c r="N345" i="1"/>
  <c r="O345" i="1" s="1"/>
  <c r="N346" i="1"/>
  <c r="O346" i="1" s="1"/>
  <c r="N347" i="1"/>
  <c r="O347" i="1" s="1"/>
  <c r="N348" i="1"/>
  <c r="O348" i="1" s="1"/>
  <c r="N349" i="1"/>
  <c r="O349" i="1" s="1"/>
  <c r="N350" i="1"/>
  <c r="O350" i="1" s="1"/>
  <c r="N351" i="1"/>
  <c r="O351" i="1" s="1"/>
  <c r="N352" i="1"/>
  <c r="O352" i="1" s="1"/>
  <c r="N353" i="1"/>
  <c r="O353" i="1" s="1"/>
  <c r="N354" i="1"/>
  <c r="O354" i="1" s="1"/>
  <c r="N355" i="1"/>
  <c r="O355" i="1" s="1"/>
  <c r="N356" i="1"/>
  <c r="O356" i="1" s="1"/>
  <c r="N357" i="1"/>
  <c r="O357" i="1" s="1"/>
  <c r="N358" i="1"/>
  <c r="O358" i="1" s="1"/>
  <c r="N359" i="1"/>
  <c r="O359" i="1" s="1"/>
  <c r="N360" i="1"/>
  <c r="O360" i="1" s="1"/>
  <c r="N361" i="1"/>
  <c r="O361" i="1" s="1"/>
  <c r="N362" i="1"/>
  <c r="O362" i="1" s="1"/>
  <c r="N363" i="1"/>
  <c r="O363" i="1" s="1"/>
  <c r="N364" i="1"/>
  <c r="O364" i="1" s="1"/>
  <c r="N365" i="1"/>
  <c r="O365" i="1" s="1"/>
  <c r="N366" i="1"/>
  <c r="O366" i="1" s="1"/>
  <c r="N367" i="1"/>
  <c r="O367" i="1" s="1"/>
  <c r="N368" i="1"/>
  <c r="O368" i="1" s="1"/>
  <c r="N369" i="1"/>
  <c r="O369" i="1" s="1"/>
  <c r="N370" i="1"/>
  <c r="O370" i="1" s="1"/>
  <c r="N371" i="1"/>
  <c r="O371" i="1" s="1"/>
  <c r="N372" i="1"/>
  <c r="O372" i="1" s="1"/>
  <c r="N373" i="1"/>
  <c r="O373" i="1" s="1"/>
  <c r="N374" i="1"/>
  <c r="O374" i="1" s="1"/>
  <c r="N375" i="1"/>
  <c r="O375" i="1" s="1"/>
  <c r="N376" i="1"/>
  <c r="O376" i="1" s="1"/>
  <c r="N377" i="1"/>
  <c r="O377" i="1" s="1"/>
  <c r="N378" i="1"/>
  <c r="O378" i="1" s="1"/>
  <c r="N379" i="1"/>
  <c r="O379" i="1" s="1"/>
  <c r="N380" i="1"/>
  <c r="O380" i="1" s="1"/>
  <c r="N381" i="1"/>
  <c r="O381" i="1" s="1"/>
  <c r="N382" i="1"/>
  <c r="O382" i="1" s="1"/>
  <c r="N383" i="1"/>
  <c r="O383" i="1" s="1"/>
  <c r="N384" i="1"/>
  <c r="O384" i="1" s="1"/>
  <c r="N385" i="1"/>
  <c r="O385" i="1" s="1"/>
  <c r="N386" i="1"/>
  <c r="O386" i="1" s="1"/>
  <c r="N387" i="1"/>
  <c r="O387" i="1" s="1"/>
  <c r="N388" i="1"/>
  <c r="O388" i="1" s="1"/>
  <c r="N389" i="1"/>
  <c r="O389" i="1" s="1"/>
  <c r="N390" i="1"/>
  <c r="O390" i="1" s="1"/>
  <c r="N391" i="1"/>
  <c r="O391" i="1" s="1"/>
  <c r="N392" i="1"/>
  <c r="O392" i="1" s="1"/>
  <c r="N393" i="1"/>
  <c r="O393" i="1" s="1"/>
  <c r="N394" i="1"/>
  <c r="O394" i="1" s="1"/>
  <c r="N395" i="1"/>
  <c r="O395" i="1" s="1"/>
  <c r="N396" i="1"/>
  <c r="O396" i="1" s="1"/>
  <c r="N397" i="1"/>
  <c r="O397" i="1" s="1"/>
  <c r="N398" i="1"/>
  <c r="O398" i="1" s="1"/>
  <c r="N399" i="1"/>
  <c r="O399" i="1" s="1"/>
  <c r="N400" i="1"/>
  <c r="O400" i="1" s="1"/>
  <c r="N401" i="1"/>
  <c r="O401" i="1" s="1"/>
  <c r="N402" i="1"/>
  <c r="O402" i="1" s="1"/>
  <c r="N403" i="1"/>
  <c r="O403" i="1" s="1"/>
  <c r="N404" i="1"/>
  <c r="O404" i="1" s="1"/>
  <c r="N405" i="1"/>
  <c r="O405" i="1" s="1"/>
  <c r="N406" i="1"/>
  <c r="O406" i="1" s="1"/>
  <c r="N407" i="1"/>
  <c r="O407" i="1" s="1"/>
  <c r="N408" i="1"/>
  <c r="O408" i="1" s="1"/>
  <c r="N409" i="1"/>
  <c r="O409" i="1" s="1"/>
  <c r="N410" i="1"/>
  <c r="O410" i="1" s="1"/>
  <c r="N411" i="1"/>
  <c r="O411" i="1" s="1"/>
  <c r="N412" i="1"/>
  <c r="O412" i="1" s="1"/>
  <c r="N413" i="1"/>
  <c r="O413" i="1" s="1"/>
  <c r="N414" i="1"/>
  <c r="O414" i="1" s="1"/>
  <c r="N415" i="1"/>
  <c r="O415" i="1" s="1"/>
  <c r="N416" i="1"/>
  <c r="O416" i="1" s="1"/>
  <c r="N417" i="1"/>
  <c r="O417" i="1" s="1"/>
  <c r="N418" i="1"/>
  <c r="O418" i="1" s="1"/>
  <c r="N419" i="1"/>
  <c r="O419" i="1" s="1"/>
  <c r="N420" i="1"/>
  <c r="O420" i="1" s="1"/>
  <c r="N421" i="1"/>
  <c r="O421" i="1" s="1"/>
  <c r="N422" i="1"/>
  <c r="O422" i="1" s="1"/>
  <c r="N423" i="1"/>
  <c r="O423" i="1" s="1"/>
  <c r="N424" i="1"/>
  <c r="O424" i="1" s="1"/>
  <c r="N425" i="1"/>
  <c r="O425" i="1" s="1"/>
  <c r="N426" i="1"/>
  <c r="O426" i="1" s="1"/>
  <c r="N427" i="1"/>
  <c r="O427" i="1" s="1"/>
  <c r="N428" i="1"/>
  <c r="O428" i="1" s="1"/>
  <c r="N429" i="1"/>
  <c r="O429" i="1" s="1"/>
  <c r="N430" i="1"/>
  <c r="O430" i="1" s="1"/>
  <c r="N431" i="1"/>
  <c r="O431" i="1" s="1"/>
  <c r="N432" i="1"/>
  <c r="O432" i="1" s="1"/>
  <c r="N433" i="1"/>
  <c r="O433" i="1" s="1"/>
  <c r="N434" i="1"/>
  <c r="O434" i="1" s="1"/>
  <c r="N435" i="1"/>
  <c r="O435" i="1" s="1"/>
  <c r="N436" i="1"/>
  <c r="O436" i="1" s="1"/>
  <c r="N437" i="1"/>
  <c r="O437" i="1" s="1"/>
  <c r="N438" i="1"/>
  <c r="O438" i="1" s="1"/>
  <c r="N439" i="1"/>
  <c r="O439" i="1" s="1"/>
  <c r="N440" i="1"/>
  <c r="O440" i="1" s="1"/>
  <c r="N441" i="1"/>
  <c r="O441" i="1" s="1"/>
  <c r="N442" i="1"/>
  <c r="O442" i="1" s="1"/>
  <c r="N443" i="1"/>
  <c r="O443" i="1" s="1"/>
  <c r="N444" i="1"/>
  <c r="O444" i="1" s="1"/>
  <c r="N445" i="1"/>
  <c r="O445" i="1" s="1"/>
  <c r="N446" i="1"/>
  <c r="O446" i="1" s="1"/>
  <c r="N447" i="1"/>
  <c r="O447" i="1" s="1"/>
  <c r="N448" i="1"/>
  <c r="O448" i="1" s="1"/>
  <c r="N449" i="1"/>
  <c r="O449" i="1" s="1"/>
  <c r="N450" i="1"/>
  <c r="O450" i="1" s="1"/>
  <c r="N451" i="1"/>
  <c r="O451" i="1" s="1"/>
  <c r="N452" i="1"/>
  <c r="O452" i="1" s="1"/>
  <c r="N453" i="1"/>
  <c r="O453" i="1" s="1"/>
  <c r="N454" i="1"/>
  <c r="O454" i="1" s="1"/>
  <c r="N455" i="1"/>
  <c r="O455" i="1" s="1"/>
  <c r="N456" i="1"/>
  <c r="O456" i="1" s="1"/>
  <c r="N457" i="1"/>
  <c r="O457" i="1" s="1"/>
  <c r="N458" i="1"/>
  <c r="O458" i="1" s="1"/>
  <c r="N459" i="1"/>
  <c r="O459" i="1" s="1"/>
  <c r="N460" i="1"/>
  <c r="O460" i="1" s="1"/>
  <c r="N461" i="1"/>
  <c r="O461" i="1" s="1"/>
  <c r="N462" i="1"/>
  <c r="O462" i="1" s="1"/>
  <c r="N463" i="1"/>
  <c r="O463" i="1" s="1"/>
  <c r="N464" i="1"/>
  <c r="O464" i="1" s="1"/>
  <c r="N465" i="1"/>
  <c r="O465" i="1" s="1"/>
  <c r="N466" i="1"/>
  <c r="O466" i="1" s="1"/>
  <c r="N467" i="1"/>
  <c r="O467" i="1" s="1"/>
  <c r="N468" i="1"/>
  <c r="O468" i="1" s="1"/>
  <c r="N469" i="1"/>
  <c r="O469" i="1" s="1"/>
  <c r="N470" i="1"/>
  <c r="O470" i="1" s="1"/>
  <c r="N471" i="1"/>
  <c r="O471" i="1" s="1"/>
  <c r="N472" i="1"/>
  <c r="O472" i="1" s="1"/>
  <c r="N473" i="1"/>
  <c r="O473" i="1" s="1"/>
  <c r="N474" i="1"/>
  <c r="O474" i="1" s="1"/>
  <c r="N475" i="1"/>
  <c r="O475" i="1" s="1"/>
  <c r="N476" i="1"/>
  <c r="O476" i="1" s="1"/>
  <c r="N477" i="1"/>
  <c r="O477" i="1" s="1"/>
  <c r="N478" i="1"/>
  <c r="O478" i="1" s="1"/>
  <c r="N479" i="1"/>
  <c r="O479" i="1" s="1"/>
  <c r="N480" i="1"/>
  <c r="O480" i="1" s="1"/>
  <c r="N481" i="1"/>
  <c r="O481" i="1" s="1"/>
  <c r="N482" i="1"/>
  <c r="O482" i="1" s="1"/>
  <c r="N483" i="1"/>
  <c r="O483" i="1" s="1"/>
  <c r="N484" i="1"/>
  <c r="O484" i="1" s="1"/>
  <c r="N485" i="1"/>
  <c r="O485" i="1" s="1"/>
  <c r="N486" i="1"/>
  <c r="O486" i="1" s="1"/>
  <c r="N487" i="1"/>
  <c r="O487" i="1" s="1"/>
  <c r="N488" i="1"/>
  <c r="O488" i="1" s="1"/>
  <c r="N489" i="1"/>
  <c r="O489" i="1" s="1"/>
  <c r="N490" i="1"/>
  <c r="O490" i="1" s="1"/>
  <c r="N491" i="1"/>
  <c r="O491" i="1" s="1"/>
  <c r="N492" i="1"/>
  <c r="O492" i="1" s="1"/>
  <c r="N493" i="1"/>
  <c r="O493" i="1" s="1"/>
  <c r="N494" i="1"/>
  <c r="O494" i="1" s="1"/>
  <c r="N495" i="1"/>
  <c r="O495" i="1" s="1"/>
  <c r="N496" i="1"/>
  <c r="O496" i="1" s="1"/>
  <c r="N497" i="1"/>
  <c r="O497" i="1" s="1"/>
  <c r="N498" i="1"/>
  <c r="O498" i="1" s="1"/>
  <c r="N499" i="1"/>
  <c r="O499" i="1" s="1"/>
  <c r="N500" i="1"/>
  <c r="O500" i="1" s="1"/>
  <c r="N501" i="1"/>
  <c r="O501" i="1" s="1"/>
  <c r="N502" i="1"/>
  <c r="O502" i="1" s="1"/>
  <c r="N503" i="1"/>
  <c r="O503" i="1" s="1"/>
  <c r="N504" i="1"/>
  <c r="O504" i="1" s="1"/>
  <c r="N505" i="1"/>
  <c r="O505" i="1" s="1"/>
  <c r="N506" i="1"/>
  <c r="O506" i="1" s="1"/>
  <c r="N507" i="1"/>
  <c r="O507" i="1" s="1"/>
  <c r="N508" i="1"/>
  <c r="O508" i="1" s="1"/>
  <c r="N509" i="1"/>
  <c r="O509" i="1" s="1"/>
  <c r="N510" i="1"/>
  <c r="O510" i="1" s="1"/>
  <c r="N511" i="1"/>
  <c r="O511" i="1" s="1"/>
  <c r="N512" i="1"/>
  <c r="O512" i="1" s="1"/>
  <c r="N513" i="1"/>
  <c r="O513" i="1" s="1"/>
  <c r="N514" i="1"/>
  <c r="O514" i="1" s="1"/>
  <c r="N515" i="1"/>
  <c r="O515" i="1" s="1"/>
  <c r="N516" i="1"/>
  <c r="O516" i="1" s="1"/>
  <c r="N517" i="1"/>
  <c r="O517" i="1" s="1"/>
  <c r="N518" i="1"/>
  <c r="O518" i="1" s="1"/>
  <c r="N519" i="1"/>
  <c r="O519" i="1" s="1"/>
  <c r="N520" i="1"/>
  <c r="O520" i="1" s="1"/>
  <c r="N521" i="1"/>
  <c r="O521" i="1" s="1"/>
  <c r="N522" i="1"/>
  <c r="O522" i="1" s="1"/>
  <c r="N523" i="1"/>
  <c r="O523" i="1" s="1"/>
  <c r="N524" i="1"/>
  <c r="O524" i="1" s="1"/>
  <c r="N525" i="1"/>
  <c r="O525" i="1" s="1"/>
  <c r="N526" i="1"/>
  <c r="O526" i="1" s="1"/>
  <c r="N527" i="1"/>
  <c r="O527" i="1" s="1"/>
  <c r="N528" i="1"/>
  <c r="O528" i="1" s="1"/>
  <c r="N529" i="1"/>
  <c r="O529" i="1" s="1"/>
  <c r="N530" i="1"/>
  <c r="O530" i="1" s="1"/>
  <c r="N531" i="1"/>
  <c r="O531" i="1" s="1"/>
  <c r="N532" i="1"/>
  <c r="O532" i="1" s="1"/>
  <c r="N533" i="1"/>
  <c r="O533" i="1" s="1"/>
  <c r="N534" i="1"/>
  <c r="O534" i="1" s="1"/>
  <c r="N535" i="1"/>
  <c r="O535" i="1" s="1"/>
  <c r="N536" i="1"/>
  <c r="O536" i="1" s="1"/>
  <c r="N537" i="1"/>
  <c r="O537" i="1" s="1"/>
  <c r="N538" i="1"/>
  <c r="O538" i="1" s="1"/>
  <c r="N539" i="1"/>
  <c r="O539" i="1" s="1"/>
  <c r="N540" i="1"/>
  <c r="O540" i="1" s="1"/>
  <c r="N541" i="1"/>
  <c r="O541" i="1" s="1"/>
  <c r="N542" i="1"/>
  <c r="O542" i="1" s="1"/>
  <c r="N543" i="1"/>
  <c r="O543" i="1" s="1"/>
  <c r="N544" i="1"/>
  <c r="O544" i="1" s="1"/>
  <c r="N545" i="1"/>
  <c r="O545" i="1" s="1"/>
  <c r="N546" i="1"/>
  <c r="O546" i="1" s="1"/>
  <c r="N547" i="1"/>
  <c r="O547" i="1" s="1"/>
  <c r="N548" i="1"/>
  <c r="O548" i="1" s="1"/>
  <c r="N549" i="1"/>
  <c r="O549" i="1" s="1"/>
  <c r="N550" i="1"/>
  <c r="O550" i="1" s="1"/>
  <c r="N551" i="1"/>
  <c r="O551" i="1" s="1"/>
  <c r="N552" i="1"/>
  <c r="O552" i="1" s="1"/>
  <c r="N553" i="1"/>
  <c r="O553" i="1" s="1"/>
  <c r="N554" i="1"/>
  <c r="O554" i="1" s="1"/>
  <c r="N555" i="1"/>
  <c r="O555" i="1" s="1"/>
  <c r="N556" i="1"/>
  <c r="O556" i="1" s="1"/>
  <c r="N557" i="1"/>
  <c r="O557" i="1" s="1"/>
  <c r="N558" i="1"/>
  <c r="O558" i="1" s="1"/>
  <c r="N559" i="1"/>
  <c r="O559" i="1" s="1"/>
  <c r="N560" i="1"/>
  <c r="O560" i="1" s="1"/>
  <c r="N561" i="1"/>
  <c r="O561" i="1" s="1"/>
  <c r="N562" i="1"/>
  <c r="O562" i="1" s="1"/>
  <c r="N563" i="1"/>
  <c r="O563" i="1" s="1"/>
  <c r="N564" i="1"/>
  <c r="O564" i="1" s="1"/>
  <c r="N565" i="1"/>
  <c r="O565" i="1" s="1"/>
  <c r="N566" i="1"/>
  <c r="O566" i="1" s="1"/>
  <c r="N567" i="1"/>
  <c r="O567" i="1" s="1"/>
  <c r="N568" i="1"/>
  <c r="O568" i="1" s="1"/>
  <c r="N569" i="1"/>
  <c r="O569" i="1" s="1"/>
  <c r="N570" i="1"/>
  <c r="O570" i="1" s="1"/>
  <c r="N571" i="1"/>
  <c r="O571" i="1" s="1"/>
  <c r="N572" i="1"/>
  <c r="O572" i="1" s="1"/>
  <c r="N573" i="1"/>
  <c r="O573" i="1" s="1"/>
  <c r="N574" i="1"/>
  <c r="O574" i="1" s="1"/>
  <c r="N575" i="1"/>
  <c r="O575" i="1" s="1"/>
  <c r="N576" i="1"/>
  <c r="O576" i="1" s="1"/>
  <c r="N577" i="1"/>
  <c r="O577" i="1" s="1"/>
  <c r="N578" i="1"/>
  <c r="O578" i="1" s="1"/>
  <c r="N579" i="1"/>
  <c r="O579" i="1" s="1"/>
  <c r="N580" i="1"/>
  <c r="O580" i="1" s="1"/>
  <c r="N581" i="1"/>
  <c r="O581" i="1" s="1"/>
  <c r="N582" i="1"/>
  <c r="O582" i="1" s="1"/>
  <c r="N583" i="1"/>
  <c r="O583" i="1" s="1"/>
  <c r="N584" i="1"/>
  <c r="O584" i="1" s="1"/>
  <c r="N585" i="1"/>
  <c r="O585" i="1" s="1"/>
  <c r="N586" i="1"/>
  <c r="O586" i="1" s="1"/>
  <c r="N587" i="1"/>
  <c r="O587" i="1" s="1"/>
  <c r="N588" i="1"/>
  <c r="O588" i="1" s="1"/>
  <c r="N589" i="1"/>
  <c r="O589" i="1" s="1"/>
  <c r="N590" i="1"/>
  <c r="O590" i="1" s="1"/>
  <c r="N591" i="1"/>
  <c r="O591" i="1" s="1"/>
  <c r="N592" i="1"/>
  <c r="O592" i="1" s="1"/>
  <c r="N593" i="1"/>
  <c r="O593" i="1" s="1"/>
  <c r="N594" i="1"/>
  <c r="O594" i="1" s="1"/>
  <c r="N595" i="1"/>
  <c r="O595" i="1" s="1"/>
  <c r="N596" i="1"/>
  <c r="O596" i="1" s="1"/>
  <c r="N597" i="1"/>
  <c r="O597" i="1" s="1"/>
  <c r="N598" i="1"/>
  <c r="O598" i="1" s="1"/>
  <c r="N599" i="1"/>
  <c r="O599" i="1" s="1"/>
  <c r="N600" i="1"/>
  <c r="O600" i="1" s="1"/>
  <c r="N601" i="1"/>
  <c r="O601" i="1" s="1"/>
  <c r="N602" i="1"/>
  <c r="O602" i="1" s="1"/>
  <c r="N603" i="1"/>
  <c r="O603" i="1" s="1"/>
  <c r="N604" i="1"/>
  <c r="O604" i="1" s="1"/>
  <c r="N605" i="1"/>
  <c r="O605" i="1" s="1"/>
  <c r="N606" i="1"/>
  <c r="O606" i="1" s="1"/>
  <c r="N607" i="1"/>
  <c r="O607" i="1" s="1"/>
  <c r="N608" i="1"/>
  <c r="O608" i="1" s="1"/>
  <c r="N609" i="1"/>
  <c r="O609" i="1" s="1"/>
  <c r="N610" i="1"/>
  <c r="O610" i="1" s="1"/>
  <c r="N611" i="1"/>
  <c r="O611" i="1" s="1"/>
  <c r="N612" i="1"/>
  <c r="O612" i="1" s="1"/>
  <c r="N613" i="1"/>
  <c r="O613" i="1" s="1"/>
  <c r="N614" i="1"/>
  <c r="O614" i="1" s="1"/>
  <c r="N615" i="1"/>
  <c r="O615" i="1" s="1"/>
  <c r="N616" i="1"/>
  <c r="O616" i="1" s="1"/>
  <c r="N617" i="1"/>
  <c r="O617" i="1" s="1"/>
  <c r="N618" i="1"/>
  <c r="O618" i="1" s="1"/>
  <c r="N619" i="1"/>
  <c r="O619" i="1" s="1"/>
  <c r="N620" i="1"/>
  <c r="O620" i="1" s="1"/>
  <c r="N621" i="1"/>
  <c r="O621" i="1" s="1"/>
  <c r="N622" i="1"/>
  <c r="O622" i="1" s="1"/>
  <c r="N623" i="1"/>
  <c r="O623" i="1" s="1"/>
  <c r="N624" i="1"/>
  <c r="O624" i="1" s="1"/>
  <c r="N625" i="1"/>
  <c r="O625" i="1" s="1"/>
  <c r="N626" i="1"/>
  <c r="O626" i="1" s="1"/>
  <c r="N627" i="1"/>
  <c r="O627" i="1" s="1"/>
  <c r="N628" i="1"/>
  <c r="O628" i="1" s="1"/>
  <c r="N629" i="1"/>
  <c r="O629" i="1" s="1"/>
  <c r="N630" i="1"/>
  <c r="O630" i="1" s="1"/>
  <c r="N631" i="1"/>
  <c r="O631" i="1" s="1"/>
  <c r="N632" i="1"/>
  <c r="O632" i="1" s="1"/>
  <c r="N633" i="1"/>
  <c r="O633" i="1" s="1"/>
  <c r="N634" i="1"/>
  <c r="O634" i="1" s="1"/>
  <c r="N635" i="1"/>
  <c r="O635" i="1" s="1"/>
  <c r="N636" i="1"/>
  <c r="O636" i="1" s="1"/>
  <c r="N637" i="1"/>
  <c r="O637" i="1" s="1"/>
  <c r="N638" i="1"/>
  <c r="O638" i="1" s="1"/>
  <c r="N639" i="1"/>
  <c r="O639" i="1" s="1"/>
  <c r="N640" i="1"/>
  <c r="O640" i="1" s="1"/>
  <c r="N641" i="1"/>
  <c r="O641" i="1" s="1"/>
  <c r="N642" i="1"/>
  <c r="O642" i="1" s="1"/>
  <c r="N643" i="1"/>
  <c r="O643" i="1" s="1"/>
  <c r="N644" i="1"/>
  <c r="O644" i="1" s="1"/>
  <c r="N645" i="1"/>
  <c r="O645" i="1" s="1"/>
  <c r="N646" i="1"/>
  <c r="O646" i="1" s="1"/>
  <c r="N647" i="1"/>
  <c r="O647" i="1" s="1"/>
  <c r="N648" i="1"/>
  <c r="O648" i="1" s="1"/>
  <c r="N649" i="1"/>
  <c r="O649" i="1" s="1"/>
  <c r="N650" i="1"/>
  <c r="O650" i="1" s="1"/>
  <c r="N651" i="1"/>
  <c r="O651" i="1" s="1"/>
  <c r="N652" i="1"/>
  <c r="O652" i="1" s="1"/>
  <c r="N653" i="1"/>
  <c r="O653" i="1" s="1"/>
  <c r="N654" i="1"/>
  <c r="O654" i="1" s="1"/>
  <c r="N655" i="1"/>
  <c r="O655" i="1" s="1"/>
  <c r="N656" i="1"/>
  <c r="O656" i="1" s="1"/>
  <c r="N657" i="1"/>
  <c r="O657" i="1" s="1"/>
  <c r="N658" i="1"/>
  <c r="O658" i="1" s="1"/>
  <c r="N659" i="1"/>
  <c r="O659" i="1" s="1"/>
  <c r="N660" i="1"/>
  <c r="O660" i="1" s="1"/>
  <c r="N661" i="1"/>
  <c r="O661" i="1" s="1"/>
  <c r="N662" i="1"/>
  <c r="O662" i="1" s="1"/>
  <c r="N663" i="1"/>
  <c r="O663" i="1" s="1"/>
  <c r="N664" i="1"/>
  <c r="O664" i="1" s="1"/>
  <c r="N665" i="1"/>
  <c r="O665" i="1" s="1"/>
  <c r="N666" i="1"/>
  <c r="O666" i="1" s="1"/>
  <c r="N667" i="1"/>
  <c r="O667" i="1" s="1"/>
  <c r="N668" i="1"/>
  <c r="O668" i="1" s="1"/>
  <c r="N669" i="1"/>
  <c r="O669" i="1" s="1"/>
  <c r="N670" i="1"/>
  <c r="O670" i="1" s="1"/>
  <c r="N671" i="1"/>
  <c r="O671" i="1" s="1"/>
  <c r="N672" i="1"/>
  <c r="O672" i="1" s="1"/>
  <c r="N673" i="1"/>
  <c r="O673" i="1" s="1"/>
  <c r="N674" i="1"/>
  <c r="O674" i="1" s="1"/>
  <c r="N675" i="1"/>
  <c r="O675" i="1" s="1"/>
  <c r="N676" i="1"/>
  <c r="O676" i="1" s="1"/>
  <c r="N677" i="1"/>
  <c r="O677" i="1" s="1"/>
  <c r="N678" i="1"/>
  <c r="O678" i="1" s="1"/>
  <c r="N679" i="1"/>
  <c r="O679" i="1" s="1"/>
  <c r="N680" i="1"/>
  <c r="O680" i="1" s="1"/>
  <c r="N681" i="1"/>
  <c r="O681" i="1" s="1"/>
  <c r="N682" i="1"/>
  <c r="O682" i="1" s="1"/>
  <c r="N683" i="1"/>
  <c r="O683" i="1" s="1"/>
  <c r="N684" i="1"/>
  <c r="O684" i="1" s="1"/>
  <c r="N685" i="1"/>
  <c r="O685" i="1" s="1"/>
  <c r="N686" i="1"/>
  <c r="O686" i="1" s="1"/>
  <c r="N687" i="1"/>
  <c r="O687" i="1" s="1"/>
  <c r="N688" i="1"/>
  <c r="O688" i="1" s="1"/>
  <c r="N689" i="1"/>
  <c r="O689" i="1" s="1"/>
  <c r="N690" i="1"/>
  <c r="O690" i="1" s="1"/>
  <c r="N691" i="1"/>
  <c r="O691" i="1" s="1"/>
  <c r="N692" i="1"/>
  <c r="O692" i="1" s="1"/>
  <c r="N693" i="1"/>
  <c r="O693" i="1" s="1"/>
  <c r="N694" i="1"/>
  <c r="O694" i="1" s="1"/>
  <c r="N695" i="1"/>
  <c r="O695" i="1" s="1"/>
  <c r="N696" i="1"/>
  <c r="O696" i="1" s="1"/>
  <c r="N697" i="1"/>
  <c r="O697" i="1" s="1"/>
  <c r="N698" i="1"/>
  <c r="O698" i="1" s="1"/>
  <c r="N699" i="1"/>
  <c r="O699" i="1" s="1"/>
  <c r="N700" i="1"/>
  <c r="O700" i="1" s="1"/>
  <c r="N701" i="1"/>
  <c r="O701" i="1" s="1"/>
  <c r="N702" i="1"/>
  <c r="O702" i="1" s="1"/>
  <c r="N703" i="1"/>
  <c r="O703" i="1" s="1"/>
  <c r="N704" i="1"/>
  <c r="O704" i="1" s="1"/>
  <c r="N705" i="1"/>
  <c r="O705" i="1" s="1"/>
  <c r="N706" i="1"/>
  <c r="O706" i="1" s="1"/>
  <c r="N707" i="1"/>
  <c r="O707" i="1" s="1"/>
  <c r="N708" i="1"/>
  <c r="O708" i="1" s="1"/>
  <c r="N709" i="1"/>
  <c r="O709" i="1" s="1"/>
  <c r="N710" i="1"/>
  <c r="O710" i="1" s="1"/>
  <c r="N711" i="1"/>
  <c r="O711" i="1" s="1"/>
  <c r="N712" i="1"/>
  <c r="O712" i="1" s="1"/>
  <c r="N713" i="1"/>
  <c r="O713" i="1" s="1"/>
  <c r="N714" i="1"/>
  <c r="O714" i="1" s="1"/>
  <c r="N715" i="1"/>
  <c r="O715" i="1" s="1"/>
  <c r="N716" i="1"/>
  <c r="O716" i="1" s="1"/>
  <c r="N717" i="1"/>
  <c r="O717" i="1" s="1"/>
  <c r="N718" i="1"/>
  <c r="O718" i="1" s="1"/>
  <c r="N719" i="1"/>
  <c r="O719" i="1" s="1"/>
  <c r="N720" i="1"/>
  <c r="O720" i="1" s="1"/>
  <c r="N721" i="1"/>
  <c r="O721" i="1" s="1"/>
  <c r="N722" i="1"/>
  <c r="O722" i="1" s="1"/>
  <c r="N723" i="1"/>
  <c r="O723" i="1" s="1"/>
  <c r="N724" i="1"/>
  <c r="O724" i="1" s="1"/>
  <c r="N725" i="1"/>
  <c r="O725" i="1" s="1"/>
  <c r="N726" i="1"/>
  <c r="O726" i="1" s="1"/>
  <c r="N727" i="1"/>
  <c r="O727" i="1" s="1"/>
  <c r="N728" i="1"/>
  <c r="O728" i="1" s="1"/>
  <c r="N729" i="1"/>
  <c r="O729" i="1" s="1"/>
  <c r="N730" i="1"/>
  <c r="O730" i="1" s="1"/>
  <c r="N731" i="1"/>
  <c r="O731" i="1" s="1"/>
  <c r="N732" i="1"/>
  <c r="O732" i="1" s="1"/>
  <c r="N733" i="1"/>
  <c r="O733" i="1" s="1"/>
  <c r="N734" i="1"/>
  <c r="O734" i="1" s="1"/>
  <c r="N735" i="1"/>
  <c r="O735" i="1" s="1"/>
  <c r="N736" i="1"/>
  <c r="O736" i="1" s="1"/>
  <c r="N737" i="1"/>
  <c r="O737" i="1" s="1"/>
  <c r="N738" i="1"/>
  <c r="O738" i="1" s="1"/>
  <c r="N739" i="1"/>
  <c r="O739" i="1" s="1"/>
  <c r="N740" i="1"/>
  <c r="O740" i="1" s="1"/>
  <c r="N741" i="1"/>
  <c r="O741" i="1" s="1"/>
  <c r="N742" i="1"/>
  <c r="O742" i="1" s="1"/>
  <c r="N743" i="1"/>
  <c r="O743" i="1" s="1"/>
  <c r="N744" i="1"/>
  <c r="O744" i="1" s="1"/>
  <c r="N745" i="1"/>
  <c r="O745" i="1" s="1"/>
  <c r="N746" i="1"/>
  <c r="O746" i="1" s="1"/>
  <c r="N747" i="1"/>
  <c r="O747" i="1" s="1"/>
  <c r="N748" i="1"/>
  <c r="O748" i="1" s="1"/>
  <c r="N749" i="1"/>
  <c r="O749" i="1" s="1"/>
  <c r="N750" i="1"/>
  <c r="O750" i="1" s="1"/>
  <c r="N751" i="1"/>
  <c r="O751" i="1" s="1"/>
  <c r="N752" i="1"/>
  <c r="O752" i="1" s="1"/>
  <c r="N753" i="1"/>
  <c r="O753" i="1" s="1"/>
  <c r="N754" i="1"/>
  <c r="O754" i="1" s="1"/>
  <c r="N755" i="1"/>
  <c r="O755" i="1" s="1"/>
  <c r="N756" i="1"/>
  <c r="O756" i="1" s="1"/>
  <c r="N757" i="1"/>
  <c r="O757" i="1" s="1"/>
  <c r="N758" i="1"/>
  <c r="O758" i="1" s="1"/>
  <c r="N759" i="1"/>
  <c r="O759" i="1" s="1"/>
  <c r="N760" i="1"/>
  <c r="O760" i="1" s="1"/>
  <c r="N761" i="1"/>
  <c r="O761" i="1" s="1"/>
  <c r="N762" i="1"/>
  <c r="O762" i="1" s="1"/>
  <c r="N763" i="1"/>
  <c r="O763" i="1" s="1"/>
  <c r="N764" i="1"/>
  <c r="O764" i="1" s="1"/>
  <c r="N765" i="1"/>
  <c r="O765" i="1" s="1"/>
  <c r="N766" i="1"/>
  <c r="O766" i="1" s="1"/>
  <c r="N767" i="1"/>
  <c r="O767" i="1" s="1"/>
  <c r="N768" i="1"/>
  <c r="O768" i="1" s="1"/>
  <c r="N769" i="1"/>
  <c r="O769" i="1" s="1"/>
  <c r="N770" i="1"/>
  <c r="O770" i="1" s="1"/>
  <c r="N771" i="1"/>
  <c r="O771" i="1" s="1"/>
  <c r="N772" i="1"/>
  <c r="O772" i="1" s="1"/>
  <c r="N773" i="1"/>
  <c r="O773" i="1" s="1"/>
  <c r="N774" i="1"/>
  <c r="O774" i="1" s="1"/>
  <c r="N775" i="1"/>
  <c r="O775" i="1" s="1"/>
  <c r="N776" i="1"/>
  <c r="O776" i="1" s="1"/>
  <c r="N777" i="1"/>
  <c r="O777" i="1" s="1"/>
  <c r="N778" i="1"/>
  <c r="O778" i="1" s="1"/>
  <c r="N779" i="1"/>
  <c r="O779" i="1" s="1"/>
  <c r="N780" i="1"/>
  <c r="O780" i="1" s="1"/>
  <c r="N781" i="1"/>
  <c r="O781" i="1" s="1"/>
  <c r="N782" i="1"/>
  <c r="O782" i="1" s="1"/>
  <c r="N783" i="1"/>
  <c r="O783" i="1" s="1"/>
  <c r="N784" i="1"/>
  <c r="O784" i="1" s="1"/>
  <c r="N785" i="1"/>
  <c r="O785" i="1" s="1"/>
  <c r="N786" i="1"/>
  <c r="O786" i="1" s="1"/>
  <c r="N787" i="1"/>
  <c r="O787" i="1" s="1"/>
  <c r="N788" i="1"/>
  <c r="O788" i="1" s="1"/>
  <c r="N789" i="1"/>
  <c r="O789" i="1" s="1"/>
  <c r="N790" i="1"/>
  <c r="O790" i="1" s="1"/>
  <c r="N791" i="1"/>
  <c r="O791" i="1" s="1"/>
  <c r="N792" i="1"/>
  <c r="O792" i="1" s="1"/>
  <c r="N793" i="1"/>
  <c r="O793" i="1" s="1"/>
  <c r="N794" i="1"/>
  <c r="O794" i="1" s="1"/>
  <c r="N795" i="1"/>
  <c r="O795" i="1" s="1"/>
  <c r="N796" i="1"/>
  <c r="O796" i="1" s="1"/>
  <c r="N797" i="1"/>
  <c r="O797" i="1" s="1"/>
  <c r="N798" i="1"/>
  <c r="O798" i="1" s="1"/>
  <c r="N799" i="1"/>
  <c r="O799" i="1" s="1"/>
  <c r="N800" i="1"/>
  <c r="O800" i="1" s="1"/>
  <c r="N801" i="1"/>
  <c r="O801" i="1" s="1"/>
  <c r="N802" i="1"/>
  <c r="O802" i="1" s="1"/>
  <c r="N803" i="1"/>
  <c r="O803" i="1" s="1"/>
  <c r="N804" i="1"/>
  <c r="O804" i="1" s="1"/>
  <c r="N805" i="1"/>
  <c r="O805" i="1" s="1"/>
  <c r="N806" i="1"/>
  <c r="O806" i="1" s="1"/>
  <c r="N807" i="1"/>
  <c r="O807" i="1" s="1"/>
  <c r="N808" i="1"/>
  <c r="O808" i="1" s="1"/>
  <c r="N809" i="1"/>
  <c r="O809" i="1" s="1"/>
  <c r="N810" i="1"/>
  <c r="O810" i="1" s="1"/>
  <c r="N811" i="1"/>
  <c r="O811" i="1" s="1"/>
  <c r="N812" i="1"/>
  <c r="O812" i="1" s="1"/>
  <c r="N813" i="1"/>
  <c r="O813" i="1" s="1"/>
  <c r="N814" i="1"/>
  <c r="O814" i="1" s="1"/>
  <c r="N815" i="1"/>
  <c r="O815" i="1" s="1"/>
  <c r="N816" i="1"/>
  <c r="O816" i="1" s="1"/>
  <c r="N817" i="1"/>
  <c r="O817" i="1" s="1"/>
  <c r="N818" i="1"/>
  <c r="O818" i="1" s="1"/>
  <c r="N819" i="1"/>
  <c r="O819" i="1" s="1"/>
  <c r="N820" i="1"/>
  <c r="O820" i="1" s="1"/>
  <c r="N821" i="1"/>
  <c r="O821" i="1" s="1"/>
  <c r="N822" i="1"/>
  <c r="O822" i="1" s="1"/>
  <c r="N823" i="1"/>
  <c r="O823" i="1" s="1"/>
  <c r="N824" i="1"/>
  <c r="O824" i="1" s="1"/>
  <c r="N825" i="1"/>
  <c r="O825" i="1" s="1"/>
  <c r="N826" i="1"/>
  <c r="O826" i="1" s="1"/>
  <c r="N827" i="1"/>
  <c r="O827" i="1" s="1"/>
  <c r="N828" i="1"/>
  <c r="O828" i="1" s="1"/>
  <c r="N829" i="1"/>
  <c r="O829" i="1" s="1"/>
  <c r="N830" i="1"/>
  <c r="O830" i="1" s="1"/>
  <c r="N831" i="1"/>
  <c r="O831" i="1" s="1"/>
  <c r="N832" i="1"/>
  <c r="O832" i="1" s="1"/>
  <c r="N833" i="1"/>
  <c r="O833" i="1" s="1"/>
  <c r="N834" i="1"/>
  <c r="O834" i="1" s="1"/>
  <c r="N835" i="1"/>
  <c r="O835" i="1" s="1"/>
  <c r="N836" i="1"/>
  <c r="O836" i="1" s="1"/>
  <c r="N837" i="1"/>
  <c r="O837" i="1" s="1"/>
  <c r="N838" i="1"/>
  <c r="O838" i="1" s="1"/>
  <c r="N839" i="1"/>
  <c r="O839" i="1" s="1"/>
  <c r="N840" i="1"/>
  <c r="O840" i="1" s="1"/>
  <c r="N841" i="1"/>
  <c r="O841" i="1" s="1"/>
  <c r="N842" i="1"/>
  <c r="O842" i="1" s="1"/>
  <c r="N843" i="1"/>
  <c r="O843" i="1" s="1"/>
  <c r="N844" i="1"/>
  <c r="O844" i="1" s="1"/>
  <c r="N845" i="1"/>
  <c r="O845" i="1" s="1"/>
  <c r="N846" i="1"/>
  <c r="O846" i="1" s="1"/>
  <c r="N847" i="1"/>
  <c r="O847" i="1" s="1"/>
  <c r="N848" i="1"/>
  <c r="O848" i="1" s="1"/>
  <c r="N849" i="1"/>
  <c r="O849" i="1" s="1"/>
  <c r="N850" i="1"/>
  <c r="O850" i="1" s="1"/>
  <c r="N851" i="1"/>
  <c r="O851" i="1" s="1"/>
  <c r="N852" i="1"/>
  <c r="O852" i="1" s="1"/>
  <c r="N853" i="1"/>
  <c r="O853" i="1" s="1"/>
  <c r="N854" i="1"/>
  <c r="O854" i="1" s="1"/>
  <c r="N855" i="1"/>
  <c r="O855" i="1" s="1"/>
  <c r="N856" i="1"/>
  <c r="O856" i="1" s="1"/>
  <c r="N857" i="1"/>
  <c r="O857" i="1" s="1"/>
  <c r="N858" i="1"/>
  <c r="O858" i="1" s="1"/>
  <c r="N859" i="1"/>
  <c r="O859" i="1" s="1"/>
  <c r="N860" i="1"/>
  <c r="O860" i="1" s="1"/>
  <c r="N861" i="1"/>
  <c r="O861" i="1" s="1"/>
  <c r="N862" i="1"/>
  <c r="O862" i="1" s="1"/>
  <c r="N863" i="1"/>
  <c r="O863" i="1" s="1"/>
  <c r="N864" i="1"/>
  <c r="O864" i="1" s="1"/>
  <c r="N865" i="1"/>
  <c r="O865" i="1" s="1"/>
  <c r="N866" i="1"/>
  <c r="O866" i="1" s="1"/>
  <c r="N867" i="1"/>
  <c r="O867" i="1" s="1"/>
  <c r="N868" i="1"/>
  <c r="O868" i="1" s="1"/>
  <c r="N869" i="1"/>
  <c r="O869" i="1" s="1"/>
  <c r="N870" i="1"/>
  <c r="O870" i="1" s="1"/>
  <c r="N871" i="1"/>
  <c r="O871" i="1" s="1"/>
  <c r="N872" i="1"/>
  <c r="O872" i="1" s="1"/>
  <c r="N873" i="1"/>
  <c r="O873" i="1" s="1"/>
  <c r="N874" i="1"/>
  <c r="O874" i="1" s="1"/>
  <c r="N875" i="1"/>
  <c r="O875" i="1" s="1"/>
  <c r="N876" i="1"/>
  <c r="O876" i="1" s="1"/>
  <c r="N877" i="1"/>
  <c r="O877" i="1" s="1"/>
  <c r="N878" i="1"/>
  <c r="O878" i="1" s="1"/>
  <c r="N879" i="1"/>
  <c r="O879" i="1" s="1"/>
  <c r="N880" i="1"/>
  <c r="O880" i="1" s="1"/>
  <c r="N881" i="1"/>
  <c r="O881" i="1" s="1"/>
  <c r="N882" i="1"/>
  <c r="O882" i="1" s="1"/>
  <c r="N883" i="1"/>
  <c r="O883" i="1" s="1"/>
  <c r="N884" i="1"/>
  <c r="O884" i="1" s="1"/>
  <c r="N885" i="1"/>
  <c r="O885" i="1" s="1"/>
  <c r="N886" i="1"/>
  <c r="O886" i="1" s="1"/>
  <c r="N887" i="1"/>
  <c r="O887" i="1" s="1"/>
  <c r="N888" i="1"/>
  <c r="O888" i="1" s="1"/>
  <c r="N889" i="1"/>
  <c r="O889" i="1" s="1"/>
  <c r="N890" i="1"/>
  <c r="O890" i="1" s="1"/>
  <c r="N891" i="1"/>
  <c r="O891" i="1" s="1"/>
  <c r="N892" i="1"/>
  <c r="O892" i="1" s="1"/>
  <c r="N893" i="1"/>
  <c r="O893" i="1" s="1"/>
  <c r="N894" i="1"/>
  <c r="O894" i="1" s="1"/>
  <c r="N895" i="1"/>
  <c r="O895" i="1" s="1"/>
  <c r="N896" i="1"/>
  <c r="O896" i="1" s="1"/>
  <c r="N897" i="1"/>
  <c r="O897" i="1" s="1"/>
  <c r="N898" i="1"/>
  <c r="O898" i="1" s="1"/>
  <c r="N899" i="1"/>
  <c r="O899" i="1" s="1"/>
  <c r="N900" i="1"/>
  <c r="O900" i="1" s="1"/>
  <c r="N901" i="1"/>
  <c r="O901" i="1" s="1"/>
  <c r="N902" i="1"/>
  <c r="O902" i="1" s="1"/>
  <c r="N903" i="1"/>
  <c r="O903" i="1" s="1"/>
  <c r="N904" i="1"/>
  <c r="O904" i="1" s="1"/>
  <c r="N905" i="1"/>
  <c r="O905" i="1" s="1"/>
  <c r="N906" i="1"/>
  <c r="O906" i="1" s="1"/>
  <c r="N907" i="1"/>
  <c r="O907" i="1" s="1"/>
  <c r="N908" i="1"/>
  <c r="O908" i="1" s="1"/>
  <c r="N909" i="1"/>
  <c r="O909" i="1" s="1"/>
  <c r="N910" i="1"/>
  <c r="O910" i="1" s="1"/>
  <c r="N911" i="1"/>
  <c r="O911" i="1" s="1"/>
  <c r="N912" i="1"/>
  <c r="O912" i="1" s="1"/>
  <c r="N913" i="1"/>
  <c r="O913" i="1" s="1"/>
  <c r="N914" i="1"/>
  <c r="O914" i="1" s="1"/>
  <c r="N915" i="1"/>
  <c r="O915" i="1" s="1"/>
  <c r="N916" i="1"/>
  <c r="O916" i="1" s="1"/>
  <c r="N917" i="1"/>
  <c r="O917" i="1" s="1"/>
  <c r="N918" i="1"/>
  <c r="O918" i="1" s="1"/>
  <c r="N919" i="1"/>
  <c r="O919" i="1" s="1"/>
  <c r="N920" i="1"/>
  <c r="O920" i="1" s="1"/>
  <c r="N921" i="1"/>
  <c r="O921" i="1" s="1"/>
  <c r="N922" i="1"/>
  <c r="O922" i="1" s="1"/>
  <c r="N923" i="1"/>
  <c r="O923" i="1" s="1"/>
  <c r="N924" i="1"/>
  <c r="O924" i="1" s="1"/>
  <c r="N925" i="1"/>
  <c r="O925" i="1" s="1"/>
  <c r="N926" i="1"/>
  <c r="O926" i="1" s="1"/>
  <c r="N927" i="1"/>
  <c r="O927" i="1" s="1"/>
  <c r="N928" i="1"/>
  <c r="O928" i="1" s="1"/>
  <c r="N929" i="1"/>
  <c r="O929" i="1" s="1"/>
  <c r="N930" i="1"/>
  <c r="O930" i="1" s="1"/>
  <c r="N931" i="1"/>
  <c r="O931" i="1" s="1"/>
  <c r="N932" i="1"/>
  <c r="O932" i="1" s="1"/>
  <c r="N933" i="1"/>
  <c r="O933" i="1" s="1"/>
  <c r="N934" i="1"/>
  <c r="O934" i="1" s="1"/>
  <c r="N935" i="1"/>
  <c r="O935" i="1" s="1"/>
  <c r="N936" i="1"/>
  <c r="O936" i="1" s="1"/>
  <c r="N937" i="1"/>
  <c r="O937" i="1" s="1"/>
  <c r="N938" i="1"/>
  <c r="O938" i="1" s="1"/>
  <c r="N939" i="1"/>
  <c r="O939" i="1" s="1"/>
  <c r="N940" i="1"/>
  <c r="O940" i="1" s="1"/>
  <c r="N941" i="1"/>
  <c r="O941" i="1" s="1"/>
  <c r="N942" i="1"/>
  <c r="O942" i="1" s="1"/>
  <c r="N943" i="1"/>
  <c r="O943" i="1" s="1"/>
  <c r="N944" i="1"/>
  <c r="O944" i="1" s="1"/>
  <c r="N945" i="1"/>
  <c r="O945" i="1" s="1"/>
  <c r="N946" i="1"/>
  <c r="O946" i="1" s="1"/>
  <c r="N947" i="1"/>
  <c r="O947" i="1" s="1"/>
  <c r="N948" i="1"/>
  <c r="O948" i="1" s="1"/>
  <c r="N949" i="1"/>
  <c r="O949" i="1" s="1"/>
  <c r="N950" i="1"/>
  <c r="O950" i="1" s="1"/>
  <c r="N951" i="1"/>
  <c r="O951" i="1" s="1"/>
  <c r="N952" i="1"/>
  <c r="O952" i="1" s="1"/>
  <c r="N953" i="1"/>
  <c r="O953" i="1" s="1"/>
  <c r="N954" i="1"/>
  <c r="O954" i="1" s="1"/>
  <c r="N955" i="1"/>
  <c r="O955" i="1" s="1"/>
  <c r="N956" i="1"/>
  <c r="O956" i="1" s="1"/>
  <c r="N957" i="1"/>
  <c r="O957" i="1" s="1"/>
  <c r="N958" i="1"/>
  <c r="O958" i="1" s="1"/>
  <c r="N959" i="1"/>
  <c r="O959" i="1" s="1"/>
  <c r="N960" i="1"/>
  <c r="O960" i="1" s="1"/>
  <c r="N961" i="1"/>
  <c r="O961" i="1" s="1"/>
  <c r="N962" i="1"/>
  <c r="O962" i="1" s="1"/>
  <c r="N963" i="1"/>
  <c r="O963" i="1" s="1"/>
  <c r="N964" i="1"/>
  <c r="O964" i="1" s="1"/>
  <c r="N965" i="1"/>
  <c r="O965" i="1" s="1"/>
  <c r="N966" i="1"/>
  <c r="O966" i="1" s="1"/>
  <c r="N967" i="1"/>
  <c r="O967" i="1" s="1"/>
  <c r="N968" i="1"/>
  <c r="O968" i="1" s="1"/>
  <c r="N969" i="1"/>
  <c r="O969" i="1" s="1"/>
  <c r="N970" i="1"/>
  <c r="O970" i="1" s="1"/>
  <c r="N971" i="1"/>
  <c r="O971" i="1" s="1"/>
  <c r="N972" i="1"/>
  <c r="O972" i="1" s="1"/>
  <c r="N973" i="1"/>
  <c r="O973" i="1" s="1"/>
  <c r="N974" i="1"/>
  <c r="O974" i="1" s="1"/>
  <c r="N975" i="1"/>
  <c r="O975" i="1" s="1"/>
  <c r="N976" i="1"/>
  <c r="O976" i="1" s="1"/>
  <c r="N977" i="1"/>
  <c r="O977" i="1" s="1"/>
  <c r="N978" i="1"/>
  <c r="O978" i="1" s="1"/>
  <c r="N979" i="1"/>
  <c r="O979" i="1" s="1"/>
  <c r="N980" i="1"/>
  <c r="O980" i="1" s="1"/>
  <c r="N981" i="1"/>
  <c r="O981" i="1" s="1"/>
  <c r="N982" i="1"/>
  <c r="O982" i="1" s="1"/>
  <c r="N983" i="1"/>
  <c r="O983" i="1" s="1"/>
  <c r="N984" i="1"/>
  <c r="O984" i="1" s="1"/>
  <c r="N985" i="1"/>
  <c r="O985" i="1" s="1"/>
  <c r="N986" i="1"/>
  <c r="O986" i="1" s="1"/>
  <c r="N987" i="1"/>
  <c r="O987" i="1" s="1"/>
  <c r="N988" i="1"/>
  <c r="O988" i="1" s="1"/>
  <c r="N989" i="1"/>
  <c r="O989" i="1" s="1"/>
  <c r="N990" i="1"/>
  <c r="O990" i="1" s="1"/>
  <c r="N991" i="1"/>
  <c r="O991" i="1" s="1"/>
  <c r="N992" i="1"/>
  <c r="O992" i="1" s="1"/>
  <c r="N993" i="1"/>
  <c r="O993" i="1" s="1"/>
  <c r="N994" i="1"/>
  <c r="O994" i="1" s="1"/>
  <c r="N995" i="1"/>
  <c r="O995" i="1" s="1"/>
  <c r="N996" i="1"/>
  <c r="O996" i="1" s="1"/>
  <c r="N997" i="1"/>
  <c r="O997" i="1" s="1"/>
  <c r="N998" i="1"/>
  <c r="O998" i="1" s="1"/>
  <c r="N999" i="1"/>
  <c r="O999" i="1" s="1"/>
  <c r="N1000" i="1"/>
  <c r="O1000" i="1" s="1"/>
  <c r="N1001" i="1"/>
  <c r="O1001" i="1" s="1"/>
  <c r="N2" i="1"/>
  <c r="U13" i="1" s="1"/>
  <c r="E10" i="2" l="1"/>
  <c r="E9" i="2"/>
  <c r="E8" i="2"/>
  <c r="C16" i="2"/>
  <c r="C13" i="2"/>
  <c r="B16" i="2"/>
  <c r="B13" i="2"/>
  <c r="E2" i="2"/>
  <c r="E6" i="2"/>
  <c r="E5" i="2"/>
  <c r="E4" i="2"/>
  <c r="E3" i="2"/>
  <c r="O2" i="1"/>
  <c r="R14" i="1"/>
  <c r="R9" i="1"/>
  <c r="O4" i="1"/>
  <c r="R16" i="1"/>
  <c r="O3" i="1"/>
  <c r="R15" i="1"/>
  <c r="E16" i="2" l="1"/>
  <c r="E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<sst xmlns="http://schemas.openxmlformats.org/spreadsheetml/2006/main" count="3066" uniqueCount="1037">
  <si>
    <t>Product Category</t>
  </si>
  <si>
    <t>Sum of Total Sales</t>
  </si>
  <si>
    <t>Beauty</t>
  </si>
  <si>
    <t>Clothing</t>
  </si>
  <si>
    <t>Electronics</t>
  </si>
  <si>
    <t>Grand Total</t>
  </si>
  <si>
    <t>Gender</t>
  </si>
  <si>
    <t>Female</t>
  </si>
  <si>
    <t>Male</t>
  </si>
  <si>
    <t>Beauty Total</t>
  </si>
  <si>
    <t>Clothing Total</t>
  </si>
  <si>
    <t>Electronics Total</t>
  </si>
  <si>
    <t xml:space="preserve">Generation </t>
  </si>
  <si>
    <t>Seniors</t>
  </si>
  <si>
    <t>Young Adult</t>
  </si>
  <si>
    <t>Female Total</t>
  </si>
  <si>
    <t>Transaction ID</t>
  </si>
  <si>
    <t>Year</t>
  </si>
  <si>
    <t>Month</t>
  </si>
  <si>
    <t>Day</t>
  </si>
  <si>
    <t>Day of the week</t>
  </si>
  <si>
    <t>Date</t>
  </si>
  <si>
    <t>Customer ID</t>
  </si>
  <si>
    <t>Age</t>
  </si>
  <si>
    <t>Quantity</t>
  </si>
  <si>
    <t>Price per Unit</t>
  </si>
  <si>
    <t>Total Sales</t>
  </si>
  <si>
    <t>Commission 2023</t>
  </si>
  <si>
    <t>CUST001</t>
  </si>
  <si>
    <t>Rate %</t>
  </si>
  <si>
    <t>CUST002</t>
  </si>
  <si>
    <t>CUST003</t>
  </si>
  <si>
    <t>CUST004</t>
  </si>
  <si>
    <t>CUST005</t>
  </si>
  <si>
    <t>CUST006</t>
  </si>
  <si>
    <t>CUST007</t>
  </si>
  <si>
    <t>CUST008</t>
  </si>
  <si>
    <t>Commission Total</t>
  </si>
  <si>
    <t>All Products</t>
  </si>
  <si>
    <t>CUST009</t>
  </si>
  <si>
    <t>CUST010</t>
  </si>
  <si>
    <t>CUST011</t>
  </si>
  <si>
    <t>AVERAGE</t>
  </si>
  <si>
    <t>CUST012</t>
  </si>
  <si>
    <t xml:space="preserve">Total Sales 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</si>
  <si>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</si>
  <si>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</si>
  <si>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</si>
  <si>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</si>
  <si>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</si>
  <si>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</si>
  <si>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</si>
  <si>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</si>
  <si>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</si>
  <si>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</si>
  <si>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</si>
  <si>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</si>
  <si>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</si>
  <si>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</si>
  <si>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</si>
  <si>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</si>
  <si>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</si>
  <si>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</si>
  <si>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</si>
  <si>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</si>
  <si>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</si>
  <si>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</si>
  <si>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</si>
  <si>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</si>
  <si>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</si>
  <si>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</si>
  <si>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</si>
  <si>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</si>
  <si>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</si>
  <si>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</si>
  <si>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</si>
  <si>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</si>
  <si>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</si>
  <si>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</si>
  <si>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</si>
  <si>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</si>
  <si>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</si>
  <si>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</si>
  <si>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</si>
  <si>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</si>
  <si>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</si>
  <si>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</si>
  <si>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</si>
  <si>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</si>
  <si>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</si>
  <si>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</si>
  <si>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</si>
  <si>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</si>
  <si>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</si>
  <si>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</si>
  <si>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</si>
  <si>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</si>
  <si>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</si>
  <si>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</si>
  <si>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</si>
  <si>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</si>
  <si>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</si>
  <si>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</si>
  <si>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</si>
  <si>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</si>
  <si>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</si>
  <si>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</si>
  <si>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</si>
  <si>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</si>
  <si>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</si>
  <si>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</si>
  <si>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</si>
  <si>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</si>
  <si>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</si>
  <si>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</si>
  <si>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</si>
  <si>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</si>
  <si>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</si>
  <si>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</si>
  <si>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</si>
  <si>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</si>
  <si>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</si>
  <si>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</si>
  <si>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</si>
  <si>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</si>
  <si>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</si>
  <si>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</si>
  <si>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</si>
  <si>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</si>
  <si>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</si>
  <si>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</si>
  <si>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</si>
  <si>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</si>
  <si>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</si>
  <si>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</si>
  <si>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</si>
  <si>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</si>
  <si>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</si>
  <si>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</si>
  <si>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</si>
  <si>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</si>
  <si>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</si>
  <si>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</si>
  <si>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</si>
  <si>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</si>
  <si>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</si>
  <si>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</si>
  <si>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</si>
  <si>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</si>
  <si>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</si>
  <si>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</si>
  <si>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</si>
  <si>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</si>
  <si>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</si>
  <si>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</si>
  <si>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</si>
  <si>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</si>
  <si>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</si>
  <si>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</si>
  <si>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</si>
  <si>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</si>
  <si>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</si>
  <si>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</si>
  <si>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</si>
  <si>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</si>
  <si>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</si>
  <si>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</si>
  <si>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</si>
  <si>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</si>
  <si>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</si>
  <si>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</si>
  <si>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</si>
  <si>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</si>
  <si>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</si>
  <si>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</si>
  <si>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</si>
  <si>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</si>
  <si>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</si>
  <si>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</si>
  <si>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</si>
  <si>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</si>
  <si>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</si>
  <si>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</si>
  <si>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</si>
  <si>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</si>
  <si>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</si>
  <si>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</si>
  <si>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</si>
  <si>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</si>
  <si>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</si>
  <si>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</si>
  <si>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</si>
  <si>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</si>
  <si>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</si>
  <si>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</si>
  <si>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</si>
  <si>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</si>
  <si>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</si>
  <si>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</si>
  <si>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</si>
  <si>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</si>
  <si>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</si>
  <si>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</si>
  <si>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</si>
  <si>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</si>
  <si>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</si>
  <si>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</si>
  <si>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</si>
  <si>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</si>
  <si>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</si>
  <si>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</si>
  <si>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</si>
  <si>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</si>
  <si>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</si>
  <si>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</si>
  <si>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</si>
  <si>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</si>
  <si>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</si>
  <si>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</si>
  <si>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</si>
  <si>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</si>
  <si>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</si>
  <si>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</si>
  <si>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</si>
  <si>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</si>
  <si>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</si>
  <si>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</si>
  <si>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</si>
  <si>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</si>
  <si>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</si>
  <si>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</si>
  <si>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</si>
  <si>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</si>
  <si>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</si>
  <si>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</si>
  <si>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</si>
  <si>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</si>
  <si>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</si>
  <si>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</si>
  <si>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</si>
  <si>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</si>
  <si>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</si>
  <si>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</si>
  <si>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</si>
  <si>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</si>
  <si>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</si>
  <si>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</si>
  <si>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</si>
  <si>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</si>
  <si>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</si>
  <si>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</si>
  <si>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</si>
  <si>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</si>
  <si>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</si>
  <si>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</si>
  <si>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</si>
  <si>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</si>
  <si>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</si>
  <si>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</si>
  <si>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</si>
  <si>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</si>
  <si>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</si>
  <si>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</si>
  <si>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</si>
  <si>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</si>
  <si>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</si>
  <si>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</si>
  <si>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</si>
  <si>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</si>
  <si>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</si>
  <si>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</si>
  <si>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</si>
  <si>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</si>
  <si>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</si>
  <si>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</si>
  <si>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</si>
  <si>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</si>
  <si>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</si>
  <si>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</si>
  <si>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</si>
  <si>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</si>
  <si>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</si>
  <si>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</si>
  <si>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</si>
  <si>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</si>
  <si>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</si>
  <si>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</si>
  <si>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</si>
  <si>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</si>
  <si>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</si>
  <si>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</si>
  <si>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</si>
  <si>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</si>
  <si>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</si>
  <si>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</si>
  <si>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</si>
  <si>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</si>
  <si>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</si>
  <si>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</si>
  <si>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</si>
  <si>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</si>
  <si>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</si>
  <si>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</si>
  <si>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</si>
  <si>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</si>
  <si>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</si>
  <si>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</si>
  <si>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</si>
  <si>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</si>
  <si>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</si>
  <si>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</si>
  <si>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</si>
  <si>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</si>
  <si>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</si>
  <si>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</si>
  <si>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</si>
  <si>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</si>
  <si>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</si>
  <si>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</si>
  <si>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</si>
  <si>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</si>
  <si>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</si>
  <si>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</si>
  <si>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</si>
  <si>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</si>
  <si>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</si>
  <si>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</si>
  <si>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</si>
  <si>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</si>
  <si>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</si>
  <si>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</si>
  <si>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</si>
  <si>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</si>
  <si>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</si>
  <si>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</si>
  <si>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</si>
  <si>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</si>
  <si>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</si>
  <si>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</si>
  <si>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</si>
  <si>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</si>
  <si>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</si>
  <si>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</si>
  <si>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</si>
  <si>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</si>
  <si>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</si>
  <si>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</si>
  <si>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</si>
  <si>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</si>
  <si>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</si>
  <si>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</si>
  <si>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</si>
  <si>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</si>
  <si>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</si>
  <si>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</si>
  <si>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</si>
  <si>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</si>
  <si>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</si>
  <si>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</si>
  <si>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</si>
  <si>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</si>
  <si>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</si>
  <si>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</si>
  <si>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</si>
  <si>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</si>
  <si>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</si>
  <si>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</si>
  <si>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</si>
  <si>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</si>
  <si>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</si>
  <si>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</si>
  <si>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</si>
  <si>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</si>
  <si>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</si>
  <si>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</si>
  <si>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</si>
  <si>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</si>
  <si>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</si>
  <si>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</si>
  <si>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</si>
  <si>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</si>
  <si>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</si>
  <si>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</si>
  <si>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</si>
  <si>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</si>
  <si>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</si>
  <si>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</si>
  <si>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</si>
  <si>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</si>
  <si>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</si>
  <si>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</si>
  <si>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</si>
  <si>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</si>
  <si>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</si>
  <si>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</si>
  <si>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</si>
  <si>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</si>
  <si>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</si>
  <si>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</si>
  <si>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</si>
  <si>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</si>
  <si>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</si>
  <si>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</si>
  <si>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</si>
  <si>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</si>
  <si>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</si>
  <si>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</si>
  <si>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</si>
  <si>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</si>
  <si>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</si>
  <si>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</si>
  <si>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</si>
  <si>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</si>
  <si>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</si>
  <si>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</si>
  <si>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</si>
  <si>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</si>
  <si>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</si>
  <si>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</si>
  <si>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</si>
  <si>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</si>
  <si>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</si>
  <si>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</si>
  <si>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</si>
  <si>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</si>
  <si>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</si>
  <si>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</si>
  <si>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</si>
  <si>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</si>
  <si>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</si>
  <si>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</si>
  <si>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</si>
  <si>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</si>
  <si>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</si>
  <si>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</si>
  <si>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</si>
  <si>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</si>
  <si>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</si>
  <si>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</si>
  <si>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</si>
  <si>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</si>
  <si>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</si>
  <si>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</si>
  <si>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</si>
  <si>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</si>
  <si>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</si>
  <si>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</si>
  <si>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</si>
  <si>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</si>
  <si>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</si>
  <si>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</si>
  <si>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</si>
  <si>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</si>
  <si>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</si>
  <si>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</si>
  <si>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</si>
  <si>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</si>
  <si>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</si>
  <si>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</si>
  <si>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</si>
  <si>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</si>
  <si>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</si>
  <si>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</si>
  <si>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</si>
  <si>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</si>
  <si>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</si>
  <si>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</si>
  <si>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</si>
  <si>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</si>
  <si>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</si>
  <si>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</si>
  <si>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</si>
  <si>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</si>
  <si>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</si>
  <si>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</si>
  <si>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</si>
  <si>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</si>
  <si>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</si>
  <si>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</si>
  <si>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</si>
  <si>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</si>
  <si>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</si>
  <si>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</si>
  <si>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</si>
  <si>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</si>
  <si>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</si>
  <si>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</si>
  <si>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</si>
  <si>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</si>
  <si>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</si>
  <si>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</si>
  <si>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</si>
  <si>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</si>
  <si>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</si>
  <si>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</si>
  <si>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</si>
  <si>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</si>
  <si>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</si>
  <si>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</si>
  <si>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</si>
  <si>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</si>
  <si>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</si>
  <si>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</si>
  <si>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</si>
  <si>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</si>
  <si>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</si>
  <si>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</si>
  <si>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</si>
  <si>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</si>
  <si>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</si>
  <si>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</si>
  <si>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</si>
  <si>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</si>
  <si>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</si>
  <si>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</si>
  <si>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</si>
  <si>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</si>
  <si>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</si>
  <si>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</si>
  <si>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</si>
  <si>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</si>
  <si>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</si>
  <si>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</si>
  <si>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</si>
  <si>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</si>
  <si>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</si>
  <si>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</si>
  <si>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</si>
  <si>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</si>
  <si>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</si>
  <si>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</si>
  <si>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</si>
  <si>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</si>
  <si>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</si>
  <si>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</si>
  <si>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</si>
  <si>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</si>
  <si>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</si>
  <si>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</si>
  <si>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</si>
  <si>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</si>
  <si>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</si>
  <si>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</si>
  <si>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</si>
  <si>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</si>
  <si>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</si>
  <si>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</si>
  <si>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</si>
  <si>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</si>
  <si>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</si>
  <si>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</si>
  <si>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</si>
  <si>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</si>
  <si>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</si>
  <si>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</si>
  <si>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</si>
  <si>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</si>
  <si>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</si>
  <si>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</si>
  <si>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</si>
  <si>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</si>
  <si>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</si>
  <si>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</si>
  <si>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</si>
  <si>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</si>
  <si>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</si>
  <si>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</si>
  <si>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</si>
  <si>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</si>
  <si>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</si>
  <si>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</si>
  <si>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</si>
  <si>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</si>
  <si>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</si>
  <si>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</si>
  <si>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</si>
  <si>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</si>
  <si>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</si>
  <si>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</si>
  <si>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</si>
  <si>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</si>
  <si>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</si>
  <si>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</si>
  <si>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</si>
  <si>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</si>
  <si>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</si>
  <si>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</si>
  <si>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</si>
  <si>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</si>
  <si>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</si>
  <si>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</si>
  <si>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</si>
  <si>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</si>
  <si>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</si>
  <si>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</si>
  <si>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</si>
  <si>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</si>
  <si>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</si>
  <si>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</si>
  <si>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</si>
  <si>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</si>
  <si>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</si>
  <si>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</si>
  <si>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</si>
  <si>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</si>
  <si>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</si>
  <si>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</si>
  <si>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</si>
  <si>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</si>
  <si>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</si>
  <si>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</si>
  <si>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</si>
  <si>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</si>
  <si>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</si>
  <si>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</si>
  <si>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</si>
  <si>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</si>
  <si>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</si>
  <si>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</si>
  <si>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</si>
  <si>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</si>
  <si>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</si>
  <si>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</si>
  <si>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</si>
  <si>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</si>
  <si>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</si>
  <si>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</si>
  <si>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</si>
  <si>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</si>
  <si>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</si>
  <si>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</si>
  <si>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</si>
  <si>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</si>
  <si>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</si>
  <si>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</si>
  <si>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</si>
  <si>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</si>
  <si>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</si>
  <si>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</si>
  <si>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</si>
  <si>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</si>
  <si>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</si>
  <si>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</si>
  <si>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</si>
  <si>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</si>
  <si>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</si>
  <si>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</si>
  <si>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</si>
  <si>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</si>
  <si>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</si>
  <si>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</si>
  <si>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</si>
  <si>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</si>
  <si>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</si>
  <si>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</si>
  <si>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</si>
  <si>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</si>
  <si>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</si>
  <si>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</si>
  <si>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</si>
  <si>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</si>
  <si>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</si>
  <si>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</si>
  <si>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</si>
  <si>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</si>
  <si>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</si>
  <si>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</si>
  <si>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</si>
  <si>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</si>
  <si>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</si>
  <si>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</si>
  <si>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</si>
  <si>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</si>
  <si>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</si>
  <si>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</si>
  <si>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</si>
  <si>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</si>
  <si>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</si>
  <si>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</si>
  <si>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</si>
  <si>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</si>
  <si>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</si>
  <si>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</si>
  <si>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</si>
  <si>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</si>
  <si>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</si>
  <si>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</si>
  <si>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</si>
  <si>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</si>
  <si>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</si>
  <si>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</si>
  <si>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</si>
  <si>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</si>
  <si>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</si>
  <si>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</si>
  <si>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</si>
  <si>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</si>
  <si>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</si>
  <si>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</si>
  <si>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</si>
  <si>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</si>
  <si>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</si>
  <si>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</si>
  <si>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</si>
  <si>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</si>
  <si>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</si>
  <si>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</si>
  <si>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</si>
  <si>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</si>
  <si>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</si>
  <si>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</si>
  <si>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</si>
  <si>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</si>
  <si>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</si>
  <si>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</si>
  <si>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</si>
  <si>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</si>
  <si>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</si>
  <si>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</si>
  <si>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</si>
  <si>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</si>
  <si>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</si>
  <si>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</si>
  <si>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</si>
  <si>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</si>
  <si>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</si>
  <si>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</si>
  <si>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</si>
  <si>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</si>
  <si>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</si>
  <si>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</si>
  <si>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</si>
  <si>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</si>
  <si>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</si>
  <si>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</si>
  <si>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</si>
  <si>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</si>
  <si>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</si>
  <si>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</si>
  <si>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</si>
  <si>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</si>
  <si>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</si>
  <si>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</si>
  <si>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</si>
  <si>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</si>
  <si>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</si>
  <si>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</si>
  <si>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</si>
  <si>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</si>
  <si>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</si>
  <si>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</si>
  <si>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</si>
  <si>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</si>
  <si>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</si>
  <si>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</si>
  <si>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</si>
  <si>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</si>
  <si>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</si>
  <si>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</si>
  <si>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</si>
  <si>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</si>
  <si>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</si>
  <si>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</si>
  <si>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</si>
  <si>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</si>
  <si>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</si>
  <si>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</si>
  <si>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</si>
  <si>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</si>
  <si>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</si>
  <si>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</si>
  <si>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</si>
  <si>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</si>
  <si>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</si>
  <si>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</si>
  <si>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</si>
  <si>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</si>
  <si>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</si>
  <si>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</si>
  <si>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</si>
  <si>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</si>
  <si>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</si>
  <si>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</si>
  <si>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</si>
  <si>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</si>
  <si>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</si>
  <si>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</si>
  <si>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</si>
  <si>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</si>
  <si>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</si>
  <si>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</si>
  <si>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</si>
  <si>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</si>
  <si>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</si>
  <si>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</si>
  <si>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</si>
  <si>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</si>
  <si>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</si>
  <si>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</si>
  <si>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</si>
  <si>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</si>
  <si>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</si>
  <si>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</si>
  <si>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</si>
  <si>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</si>
  <si>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</si>
  <si>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</si>
  <si>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</si>
  <si>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</si>
  <si>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</si>
  <si>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</si>
  <si>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</si>
  <si>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</si>
  <si>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</si>
  <si>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</si>
  <si>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</si>
  <si>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</si>
  <si>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</si>
  <si>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</si>
  <si>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</si>
  <si>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</si>
  <si>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</si>
  <si>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</si>
  <si>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</si>
  <si>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</si>
  <si>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</si>
  <si>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</si>
  <si>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</si>
  <si>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</si>
  <si>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</si>
  <si>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</si>
  <si>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</si>
  <si>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</si>
  <si>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</si>
  <si>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</si>
  <si>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</si>
  <si>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</si>
  <si>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</si>
  <si>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</si>
  <si>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</si>
  <si>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</si>
  <si>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</si>
  <si>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</si>
  <si>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</si>
  <si>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</si>
  <si>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</si>
  <si>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</si>
  <si>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</si>
  <si>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</si>
  <si>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</si>
  <si>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</si>
  <si>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</si>
  <si>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</si>
  <si>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</si>
  <si>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</si>
  <si>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</si>
  <si>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</si>
  <si>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</si>
  <si>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</si>
  <si>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</si>
  <si>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</si>
  <si>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</si>
  <si>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</si>
  <si>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</si>
  <si>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</si>
  <si>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</si>
  <si>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</si>
  <si>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</si>
  <si>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</si>
  <si>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</si>
  <si>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</si>
  <si>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</si>
  <si>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</si>
  <si>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</si>
  <si>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</si>
  <si>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</si>
  <si>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</si>
  <si>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</si>
  <si>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</si>
  <si>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</si>
  <si>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</si>
  <si>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</si>
  <si>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</si>
  <si>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</si>
  <si>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</si>
  <si>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</si>
  <si>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</si>
  <si>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</si>
  <si>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</si>
  <si>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</si>
  <si>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</si>
  <si>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</si>
  <si>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</si>
  <si>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</si>
  <si>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</si>
  <si>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</si>
  <si>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</si>
  <si>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</si>
  <si>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</si>
  <si>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</si>
  <si>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</si>
  <si>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</si>
  <si>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</si>
  <si>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</si>
  <si>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</si>
  <si>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</si>
  <si>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</si>
  <si>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</si>
  <si>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</si>
  <si>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</si>
  <si>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</si>
  <si>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</si>
  <si>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</si>
  <si>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</si>
  <si>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</si>
  <si>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</si>
  <si>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</si>
  <si>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</si>
  <si>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</si>
  <si>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</si>
  <si>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</si>
  <si>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</si>
  <si>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</si>
  <si>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</si>
  <si>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</si>
  <si>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</si>
  <si>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</si>
  <si>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</si>
  <si>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</si>
  <si>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</si>
  <si>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</si>
  <si>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</si>
  <si>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</si>
  <si>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</si>
  <si>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</si>
  <si>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</si>
  <si>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</si>
  <si>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</si>
  <si>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</si>
  <si>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</si>
  <si>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</si>
  <si>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</si>
  <si>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</si>
  <si>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</si>
  <si>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</si>
  <si>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</si>
  <si>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</si>
  <si>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</si>
  <si>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</si>
  <si>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</si>
  <si>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</si>
  <si>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</si>
  <si>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</si>
  <si>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</si>
  <si>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</si>
  <si>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</si>
  <si>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</si>
  <si>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</si>
  <si>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</si>
  <si>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</si>
  <si>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</si>
  <si>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</si>
  <si>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</si>
  <si>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</si>
  <si>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</si>
  <si>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</si>
  <si>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</si>
  <si>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</si>
  <si>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</si>
  <si>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</si>
  <si>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</si>
  <si>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</si>
  <si>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</si>
  <si>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</si>
  <si>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</si>
  <si>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</si>
  <si>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</si>
  <si>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</si>
  <si>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</si>
  <si>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</si>
  <si>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</si>
  <si>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</si>
  <si>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</si>
  <si>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</si>
  <si>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</si>
  <si>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</si>
  <si>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</si>
  <si>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</si>
  <si>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</si>
  <si>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</si>
  <si>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</si>
  <si>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</si>
  <si>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</si>
  <si>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</si>
  <si>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</si>
  <si>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</si>
  <si>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</si>
  <si>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</si>
  <si>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</si>
  <si>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</si>
  <si>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</si>
  <si>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</si>
  <si>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</si>
  <si>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</si>
  <si>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</si>
  <si>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</si>
  <si>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</si>
  <si>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</si>
  <si>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</si>
  <si>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</si>
  <si>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</si>
  <si>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</si>
  <si>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</si>
  <si>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</si>
  <si>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</si>
  <si>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</si>
  <si>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</si>
  <si>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</si>
  <si>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</si>
  <si>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</si>
  <si>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</si>
  <si>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</si>
  <si>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</si>
  <si>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</si>
  <si>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</si>
  <si>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</si>
  <si>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</si>
  <si>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</si>
  <si>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</si>
  <si>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</si>
  <si>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</si>
  <si>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</si>
  <si>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</si>
  <si>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</si>
  <si>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</si>
  <si>
    <t>Count</t>
  </si>
  <si>
    <t>Count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</si>
</sst>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2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0" xfId="0" applyFont="1"/>
    <xf numFmtId="10" fontId="0" fillId="0" borderId="0" xfId="0" applyNumberFormat="1"/>
    <xf numFmtId="164" fontId="0" fillId="0" borderId="0" xfId="0" applyNumberFormat="1"/>
    <xf numFmtId="164" fontId="19" fillId="0" borderId="0" xfId="0" applyNumberFormat="1" applyFont="1"/>
    <xf numFmtId="164" fontId="0" fillId="33" borderId="0" xfId="0" applyNumberFormat="1" applyFill="1"/>
    <xf numFmtId="164" fontId="0" fillId="34" borderId="0" xfId="0" applyNumberFormat="1" applyFill="1"/>
    <xf numFmtId="0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B050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EB9C"/>
        </patternFill>
      </fill>
    </dxf>
    <dxf>
      <font>
        <color rgb="FF00B0F0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theme" Target="theme/theme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eetMetadata" Target="metadata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Copy.xlsx]Product Sales by 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Sales by Category'!$A$4:$A$7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'Product Sales by Category'!$B$4:$B$7</c:f>
              <c:numCache>
                <c:formatCode>0.00%</c:formatCode>
                <c:ptCount val="3"/>
                <c:pt idx="0">
                  <c:v>0.31472587719298245</c:v>
                </c:pt>
                <c:pt idx="1">
                  <c:v>0.34118421052631581</c:v>
                </c:pt>
                <c:pt idx="2">
                  <c:v>0.34408991228070174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3-4959-BAF5-E14504753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1264776"/>
        <c:axId val="1135191048"/>
      </c:barChart>
      <c:catAx>
        <c:axId val="1311264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191048"/>
        <c:crosses val="autoZero"/>
        <c:auto val="1"/>
        <c:lblAlgn val="ctr"/>
        <c:lblOffset val="100"/>
        <c:noMultiLvlLbl val="0"/>
      </c:catAx>
      <c:valAx>
        <c:axId val="113519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64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Copy.xlsx]Product sales by Gender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sales by Gender 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'Product sales by Gender '!$A$4:$B$13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Beauty</c:v>
                  </c:pt>
                  <c:pt idx="2">
                    <c:v>Clothing</c:v>
                  </c:pt>
                  <c:pt idx="4">
                    <c:v>Electronics</c:v>
                  </c:pt>
                </c:lvl>
              </c:multiLvlStrCache>
            </c:multiLvlStrRef>
          </c:cat>
          <c:val>
            <c:numRef>
              <c:f>'Product sales by Gender '!$C$4:$C$13</c:f>
              <c:numCache>
                <c:formatCode>General</c:formatCode>
                <c:ptCount val="6"/>
                <c:pt idx="0">
                  <c:v>74830</c:v>
                </c:pt>
                <c:pt idx="1">
                  <c:v>68685</c:v>
                </c:pt>
                <c:pt idx="2">
                  <c:v>81275</c:v>
                </c:pt>
                <c:pt idx="3">
                  <c:v>74305</c:v>
                </c:pt>
                <c:pt idx="4">
                  <c:v>76735</c:v>
                </c:pt>
                <c:pt idx="5">
                  <c:v>80170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0B-4F2E-9BB4-F85A91326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5177736"/>
        <c:axId val="1135179784"/>
      </c:barChart>
      <c:catAx>
        <c:axId val="1135177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179784"/>
        <c:crosses val="autoZero"/>
        <c:auto val="1"/>
        <c:lblAlgn val="ctr"/>
        <c:lblOffset val="100"/>
        <c:noMultiLvlLbl val="0"/>
      </c:catAx>
      <c:valAx>
        <c:axId val="1135179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177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Copy.xlsx]Sales by gender and generation!PivotTable3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Sales by Gender and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gender and generation'!$D$3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'Sales by gender and generation'!$A$4:$C$8</c:f>
              <c:multiLvlStrCache>
                <c:ptCount val="2"/>
                <c:lvl>
                  <c:pt idx="0">
                    <c:v>Seniors</c:v>
                  </c:pt>
                  <c:pt idx="1">
                    <c:v>Young Adult</c:v>
                  </c:pt>
                </c:lvl>
                <c:lvl>
                  <c:pt idx="0">
                    <c:v>Female</c:v>
                  </c:pt>
                </c:lvl>
                <c:lvl>
                  <c:pt idx="0">
                    <c:v>Beauty</c:v>
                  </c:pt>
                </c:lvl>
              </c:multiLvlStrCache>
            </c:multiLvlStrRef>
          </c:cat>
          <c:val>
            <c:numRef>
              <c:f>'Sales by gender and generation'!$D$4:$D$8</c:f>
              <c:numCache>
                <c:formatCode>0.00%</c:formatCode>
                <c:ptCount val="2"/>
                <c:pt idx="0">
                  <c:v>0.5045385779122542</c:v>
                </c:pt>
                <c:pt idx="1">
                  <c:v>0.49546142208774585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8-4D50-99E0-5408A2B028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34147336"/>
        <c:axId val="1234149384"/>
      </c:barChart>
      <c:catAx>
        <c:axId val="1234147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149384"/>
        <c:crosses val="autoZero"/>
        <c:auto val="1"/>
        <c:lblAlgn val="ctr"/>
        <c:lblOffset val="100"/>
        <c:noMultiLvlLbl val="0"/>
      </c:catAx>
      <c:valAx>
        <c:axId val="1234149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147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371475</xdr:colOff>
      <xdr:row>5</xdr:row>
      <xdr:rowOff>19050</xdr:rowOff>
    </xdr:from>
    <xdr:to>
      <xdr:col>9</xdr:col>
      <xdr:colOff>142875</xdr:colOff>
      <xdr:row>18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77D716-10F2-56CD-EFFC-1EFD31E9F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790575</xdr:colOff>
      <xdr:row>4</xdr:row>
      <xdr:rowOff>9525</xdr:rowOff>
    </xdr:from>
    <xdr:to>
      <xdr:col>10</xdr:col>
      <xdr:colOff>428625</xdr:colOff>
      <xdr:row>19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FE6512-F2C8-0A17-7767-CFB9CFE06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2</xdr:row>
      <xdr:rowOff>9525</xdr:rowOff>
    </xdr:from>
    <xdr:to>
      <xdr:col>10</xdr:col>
      <xdr:colOff>504825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AE3F4D-6FC2-FB52-2668-162203726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9525</xdr:colOff>
      <xdr:row>21</xdr:row>
      <xdr:rowOff>0</xdr:rowOff>
    </xdr:from>
    <xdr:to>
      <xdr:col>3</xdr:col>
      <xdr:colOff>790575</xdr:colOff>
      <xdr:row>34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Gender">
              <a:extLst>
                <a:ext uri="{FF2B5EF4-FFF2-40B4-BE49-F238E27FC236}">
                  <a16:creationId xmlns:a16="http://schemas.microsoft.com/office/drawing/2014/main" id="{77FF7E3C-CB9C-C90D-FD4C-63B4256A4DD1}"/>
                </a:ext>
                <a:ext uri="{147F2762-F138-4A5C-976F-8EAC2B608ADB}">
                  <a16:predDERef xmlns:a16="http://schemas.microsoft.com/office/drawing/2014/main" pred="{DEAE3F4D-6FC2-FB52-2668-1622037261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71700" y="42005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19050</xdr:colOff>
      <xdr:row>21</xdr:row>
      <xdr:rowOff>9525</xdr:rowOff>
    </xdr:from>
    <xdr:to>
      <xdr:col>7</xdr:col>
      <xdr:colOff>476250</xdr:colOff>
      <xdr:row>34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Generation ">
              <a:extLst>
                <a:ext uri="{FF2B5EF4-FFF2-40B4-BE49-F238E27FC236}">
                  <a16:creationId xmlns:a16="http://schemas.microsoft.com/office/drawing/2014/main" id="{09E43A41-9D24-0AB3-7569-2F31D39D4D10}"/>
                </a:ext>
                <a:ext uri="{147F2762-F138-4A5C-976F-8EAC2B608ADB}">
                  <a16:predDERef xmlns:a16="http://schemas.microsoft.com/office/drawing/2014/main" pred="{77FF7E3C-CB9C-C90D-FD4C-63B4256A4D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 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53025" y="42100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9</xdr:col>
      <xdr:colOff>9525</xdr:colOff>
      <xdr:row>21</xdr:row>
      <xdr:rowOff>9525</xdr:rowOff>
    </xdr:from>
    <xdr:to>
      <xdr:col>11</xdr:col>
      <xdr:colOff>466725</xdr:colOff>
      <xdr:row>34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Product Category">
              <a:extLst>
                <a:ext uri="{FF2B5EF4-FFF2-40B4-BE49-F238E27FC236}">
                  <a16:creationId xmlns:a16="http://schemas.microsoft.com/office/drawing/2014/main" id="{7BEA1B27-F407-D015-022C-2F7CB078FAC2}"/>
                </a:ext>
                <a:ext uri="{147F2762-F138-4A5C-976F-8EAC2B608ADB}">
                  <a16:predDERef xmlns:a16="http://schemas.microsoft.com/office/drawing/2014/main" pred="{09E43A41-9D24-0AB3-7569-2F31D39D4D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86700" y="42100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488582986109" createdVersion="8" refreshedVersion="8" minRefreshableVersion="3" recordCount="1000" xr:uid="{7FE43A0A-F427-4FDF-8C12-3BA8B17AD955}">
  <cacheSource type="worksheet">
    <worksheetSource ref="A1:O1001" sheet="retail_sales_dataset"/>
  </cacheSource>
  <cacheFields count="15">
    <cacheField name="Transaction ID" numFmtId="0">
      <sharedItems containsSemiMixedTypes="0" containsString="0" containsNumber="1" containsInteger="1" minValue="1" maxValue="1000"/>
    </cacheField>
    <cacheField name="Year" numFmtId="0">
      <sharedItems containsSemiMixedTypes="0" containsString="0" containsNumber="1" containsInteger="1" minValue="2023" maxValue="2024"/>
    </cacheField>
    <cacheField name="Month" numFmtId="0">
      <sharedItems containsSemiMixedTypes="0" containsString="0" containsNumber="1" containsInteger="1" minValue="1" maxValue="12"/>
    </cacheField>
    <cacheField name="Day" numFmtId="0">
      <sharedItems containsSemiMixedTypes="0" containsString="0" containsNumber="1" containsInteger="1" minValue="1" maxValue="31"/>
    </cacheField>
    <cacheField name="Day of the week" numFmtId="0">
      <sharedItems containsBlank="1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Generation " numFmtId="0">
      <sharedItems count="3">
        <s v="Adult"/>
        <s v="Young Adult"/>
        <s v="Seniors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Sales" numFmtId="0">
      <sharedItems containsSemiMixedTypes="0" containsString="0" containsNumber="1" containsInteger="1" minValue="25" maxValue="2000"/>
    </cacheField>
    <cacheField name="Commission 2023" numFmtId="164">
      <sharedItems containsSemiMixedTypes="0" containsString="0" containsNumber="1" minValue="0.375" maxValue="30"/>
    </cacheField>
  </cacheFields>
  <extLst>
    <ext xmlns:x14="http://schemas.microsoft.com/office/spreadsheetml/2009/9/main" uri="{725AE2AE-9491-48be-B2B4-4EB974FC3084}">
      <x14:pivotCacheDefinition pivotCacheId="15258140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023"/>
    <n v="11"/>
    <n v="24"/>
    <e v="#NAME?"/>
    <d v="2023-11-24T00:00:00"/>
    <s v="CUST001"/>
    <x v="0"/>
    <n v="34"/>
    <x v="0"/>
    <x v="0"/>
    <n v="3"/>
    <n v="50"/>
    <n v="150"/>
    <n v="2.25"/>
  </r>
  <r>
    <n v="2"/>
    <n v="2023"/>
    <n v="2"/>
    <n v="27"/>
    <m/>
    <d v="2023-02-27T00:00:00"/>
    <s v="CUST002"/>
    <x v="1"/>
    <n v="26"/>
    <x v="1"/>
    <x v="1"/>
    <n v="2"/>
    <n v="500"/>
    <n v="1000"/>
    <n v="15"/>
  </r>
  <r>
    <n v="3"/>
    <n v="2023"/>
    <n v="1"/>
    <n v="13"/>
    <m/>
    <d v="2023-01-13T00:00:00"/>
    <s v="CUST003"/>
    <x v="0"/>
    <n v="50"/>
    <x v="2"/>
    <x v="2"/>
    <n v="1"/>
    <n v="30"/>
    <n v="30"/>
    <n v="0.44999999999999996"/>
  </r>
  <r>
    <n v="4"/>
    <n v="2023"/>
    <n v="5"/>
    <n v="21"/>
    <m/>
    <d v="2023-05-21T00:00:00"/>
    <s v="CUST004"/>
    <x v="0"/>
    <n v="37"/>
    <x v="0"/>
    <x v="1"/>
    <n v="1"/>
    <n v="500"/>
    <n v="500"/>
    <n v="7.5"/>
  </r>
  <r>
    <n v="5"/>
    <n v="2023"/>
    <n v="5"/>
    <n v="6"/>
    <m/>
    <d v="2023-05-06T00:00:00"/>
    <s v="CUST005"/>
    <x v="0"/>
    <n v="30"/>
    <x v="0"/>
    <x v="0"/>
    <n v="2"/>
    <n v="50"/>
    <n v="100"/>
    <n v="1.5"/>
  </r>
  <r>
    <n v="6"/>
    <n v="2023"/>
    <n v="4"/>
    <n v="25"/>
    <m/>
    <d v="2023-04-25T00:00:00"/>
    <s v="CUST006"/>
    <x v="1"/>
    <n v="45"/>
    <x v="0"/>
    <x v="0"/>
    <n v="1"/>
    <n v="30"/>
    <n v="30"/>
    <n v="0.44999999999999996"/>
  </r>
  <r>
    <n v="7"/>
    <n v="2023"/>
    <n v="3"/>
    <n v="13"/>
    <m/>
    <d v="2023-03-13T00:00:00"/>
    <s v="CUST007"/>
    <x v="0"/>
    <n v="46"/>
    <x v="0"/>
    <x v="1"/>
    <n v="2"/>
    <n v="25"/>
    <n v="50"/>
    <n v="0.75"/>
  </r>
  <r>
    <n v="8"/>
    <n v="2023"/>
    <n v="2"/>
    <n v="22"/>
    <m/>
    <d v="2023-02-22T00:00:00"/>
    <s v="CUST008"/>
    <x v="0"/>
    <n v="30"/>
    <x v="0"/>
    <x v="2"/>
    <n v="4"/>
    <n v="25"/>
    <n v="100"/>
    <n v="1.5"/>
  </r>
  <r>
    <n v="9"/>
    <n v="2023"/>
    <n v="12"/>
    <n v="13"/>
    <m/>
    <d v="2023-12-13T00:00:00"/>
    <s v="CUST009"/>
    <x v="0"/>
    <n v="63"/>
    <x v="2"/>
    <x v="2"/>
    <n v="2"/>
    <n v="300"/>
    <n v="600"/>
    <n v="9"/>
  </r>
  <r>
    <n v="10"/>
    <n v="2023"/>
    <n v="10"/>
    <n v="7"/>
    <m/>
    <d v="2023-10-07T00:00:00"/>
    <s v="CUST010"/>
    <x v="1"/>
    <n v="52"/>
    <x v="2"/>
    <x v="1"/>
    <n v="4"/>
    <n v="50"/>
    <n v="200"/>
    <n v="3"/>
  </r>
  <r>
    <n v="11"/>
    <n v="2023"/>
    <n v="2"/>
    <n v="14"/>
    <m/>
    <d v="2023-02-14T00:00:00"/>
    <s v="CUST011"/>
    <x v="0"/>
    <n v="23"/>
    <x v="1"/>
    <x v="1"/>
    <n v="2"/>
    <n v="50"/>
    <n v="100"/>
    <n v="1.5"/>
  </r>
  <r>
    <n v="12"/>
    <n v="2023"/>
    <n v="10"/>
    <n v="30"/>
    <m/>
    <d v="2023-10-30T00:00:00"/>
    <s v="CUST012"/>
    <x v="0"/>
    <n v="35"/>
    <x v="0"/>
    <x v="0"/>
    <n v="3"/>
    <n v="25"/>
    <n v="75"/>
    <n v="1.125"/>
  </r>
  <r>
    <n v="13"/>
    <n v="2023"/>
    <n v="8"/>
    <n v="5"/>
    <m/>
    <d v="2023-08-05T00:00:00"/>
    <s v="CUST013"/>
    <x v="0"/>
    <n v="22"/>
    <x v="1"/>
    <x v="2"/>
    <n v="3"/>
    <n v="500"/>
    <n v="1500"/>
    <n v="22.5"/>
  </r>
  <r>
    <n v="14"/>
    <n v="2023"/>
    <n v="1"/>
    <n v="17"/>
    <m/>
    <d v="2023-01-17T00:00:00"/>
    <s v="CUST014"/>
    <x v="0"/>
    <n v="64"/>
    <x v="2"/>
    <x v="1"/>
    <n v="4"/>
    <n v="30"/>
    <n v="120"/>
    <n v="1.7999999999999998"/>
  </r>
  <r>
    <n v="15"/>
    <n v="2023"/>
    <n v="1"/>
    <n v="16"/>
    <m/>
    <d v="2023-01-16T00:00:00"/>
    <s v="CUST015"/>
    <x v="1"/>
    <n v="42"/>
    <x v="0"/>
    <x v="2"/>
    <n v="4"/>
    <n v="500"/>
    <n v="2000"/>
    <n v="30"/>
  </r>
  <r>
    <n v="16"/>
    <n v="2023"/>
    <n v="2"/>
    <n v="17"/>
    <m/>
    <d v="2023-02-17T00:00:00"/>
    <s v="CUST016"/>
    <x v="0"/>
    <n v="19"/>
    <x v="1"/>
    <x v="1"/>
    <n v="3"/>
    <n v="500"/>
    <n v="1500"/>
    <n v="22.5"/>
  </r>
  <r>
    <n v="17"/>
    <n v="2023"/>
    <n v="4"/>
    <n v="22"/>
    <m/>
    <d v="2023-04-22T00:00:00"/>
    <s v="CUST017"/>
    <x v="1"/>
    <n v="27"/>
    <x v="1"/>
    <x v="1"/>
    <n v="4"/>
    <n v="25"/>
    <n v="100"/>
    <n v="1.5"/>
  </r>
  <r>
    <n v="18"/>
    <n v="2023"/>
    <n v="4"/>
    <n v="30"/>
    <m/>
    <d v="2023-04-30T00:00:00"/>
    <s v="CUST018"/>
    <x v="1"/>
    <n v="47"/>
    <x v="0"/>
    <x v="2"/>
    <n v="2"/>
    <n v="25"/>
    <n v="50"/>
    <n v="0.75"/>
  </r>
  <r>
    <n v="19"/>
    <n v="2023"/>
    <n v="9"/>
    <n v="16"/>
    <m/>
    <d v="2023-09-16T00:00:00"/>
    <s v="CUST019"/>
    <x v="1"/>
    <n v="62"/>
    <x v="2"/>
    <x v="1"/>
    <n v="2"/>
    <n v="25"/>
    <n v="50"/>
    <n v="0.75"/>
  </r>
  <r>
    <n v="20"/>
    <n v="2023"/>
    <n v="11"/>
    <n v="5"/>
    <m/>
    <d v="2023-11-05T00:00:00"/>
    <s v="CUST020"/>
    <x v="0"/>
    <n v="22"/>
    <x v="1"/>
    <x v="1"/>
    <n v="3"/>
    <n v="300"/>
    <n v="900"/>
    <n v="13.5"/>
  </r>
  <r>
    <n v="21"/>
    <n v="2023"/>
    <n v="1"/>
    <n v="14"/>
    <m/>
    <d v="2023-01-14T00:00:00"/>
    <s v="CUST021"/>
    <x v="1"/>
    <n v="50"/>
    <x v="2"/>
    <x v="0"/>
    <n v="1"/>
    <n v="500"/>
    <n v="500"/>
    <n v="7.5"/>
  </r>
  <r>
    <n v="22"/>
    <n v="2023"/>
    <n v="10"/>
    <n v="15"/>
    <m/>
    <d v="2023-10-15T00:00:00"/>
    <s v="CUST022"/>
    <x v="0"/>
    <n v="18"/>
    <x v="1"/>
    <x v="1"/>
    <n v="2"/>
    <n v="50"/>
    <n v="100"/>
    <n v="1.5"/>
  </r>
  <r>
    <n v="23"/>
    <n v="2023"/>
    <n v="4"/>
    <n v="12"/>
    <m/>
    <d v="2023-04-12T00:00:00"/>
    <s v="CUST023"/>
    <x v="1"/>
    <n v="35"/>
    <x v="0"/>
    <x v="1"/>
    <n v="4"/>
    <n v="30"/>
    <n v="120"/>
    <n v="1.7999999999999998"/>
  </r>
  <r>
    <n v="24"/>
    <n v="2023"/>
    <n v="11"/>
    <n v="29"/>
    <m/>
    <d v="2023-11-29T00:00:00"/>
    <s v="CUST024"/>
    <x v="1"/>
    <n v="49"/>
    <x v="0"/>
    <x v="1"/>
    <n v="1"/>
    <n v="300"/>
    <n v="300"/>
    <n v="4.5"/>
  </r>
  <r>
    <n v="25"/>
    <n v="2023"/>
    <n v="12"/>
    <n v="26"/>
    <m/>
    <d v="2023-12-26T00:00:00"/>
    <s v="CUST025"/>
    <x v="1"/>
    <n v="64"/>
    <x v="2"/>
    <x v="0"/>
    <n v="1"/>
    <n v="50"/>
    <n v="50"/>
    <n v="0.75"/>
  </r>
  <r>
    <n v="26"/>
    <n v="2023"/>
    <n v="10"/>
    <n v="7"/>
    <m/>
    <d v="2023-10-07T00:00:00"/>
    <s v="CUST026"/>
    <x v="1"/>
    <n v="28"/>
    <x v="1"/>
    <x v="2"/>
    <n v="2"/>
    <n v="500"/>
    <n v="1000"/>
    <n v="15"/>
  </r>
  <r>
    <n v="27"/>
    <n v="2023"/>
    <n v="8"/>
    <n v="3"/>
    <m/>
    <d v="2023-08-03T00:00:00"/>
    <s v="CUST027"/>
    <x v="1"/>
    <n v="38"/>
    <x v="0"/>
    <x v="0"/>
    <n v="2"/>
    <n v="25"/>
    <n v="50"/>
    <n v="0.75"/>
  </r>
  <r>
    <n v="28"/>
    <n v="2023"/>
    <n v="4"/>
    <n v="23"/>
    <m/>
    <d v="2023-04-23T00:00:00"/>
    <s v="CUST028"/>
    <x v="1"/>
    <n v="43"/>
    <x v="0"/>
    <x v="0"/>
    <n v="1"/>
    <n v="500"/>
    <n v="500"/>
    <n v="7.5"/>
  </r>
  <r>
    <n v="29"/>
    <n v="2023"/>
    <n v="8"/>
    <n v="18"/>
    <m/>
    <d v="2023-08-18T00:00:00"/>
    <s v="CUST029"/>
    <x v="1"/>
    <n v="42"/>
    <x v="0"/>
    <x v="2"/>
    <n v="1"/>
    <n v="30"/>
    <n v="30"/>
    <n v="0.44999999999999996"/>
  </r>
  <r>
    <n v="30"/>
    <n v="2023"/>
    <n v="10"/>
    <n v="29"/>
    <m/>
    <d v="2023-10-29T00:00:00"/>
    <s v="CUST030"/>
    <x v="1"/>
    <n v="39"/>
    <x v="0"/>
    <x v="0"/>
    <n v="3"/>
    <n v="300"/>
    <n v="900"/>
    <n v="13.5"/>
  </r>
  <r>
    <n v="31"/>
    <n v="2023"/>
    <n v="5"/>
    <n v="23"/>
    <m/>
    <d v="2023-05-23T00:00:00"/>
    <s v="CUST031"/>
    <x v="0"/>
    <n v="44"/>
    <x v="0"/>
    <x v="2"/>
    <n v="4"/>
    <n v="300"/>
    <n v="1200"/>
    <n v="18"/>
  </r>
  <r>
    <n v="32"/>
    <n v="2023"/>
    <n v="1"/>
    <n v="4"/>
    <m/>
    <d v="2023-01-04T00:00:00"/>
    <s v="CUST032"/>
    <x v="0"/>
    <n v="30"/>
    <x v="0"/>
    <x v="0"/>
    <n v="3"/>
    <n v="30"/>
    <n v="90"/>
    <n v="1.3499999999999999"/>
  </r>
  <r>
    <n v="33"/>
    <n v="2023"/>
    <n v="3"/>
    <n v="23"/>
    <m/>
    <d v="2023-03-23T00:00:00"/>
    <s v="CUST033"/>
    <x v="1"/>
    <n v="50"/>
    <x v="2"/>
    <x v="2"/>
    <n v="2"/>
    <n v="50"/>
    <n v="100"/>
    <n v="1.5"/>
  </r>
  <r>
    <n v="34"/>
    <n v="2023"/>
    <n v="12"/>
    <n v="24"/>
    <m/>
    <d v="2023-12-24T00:00:00"/>
    <s v="CUST034"/>
    <x v="1"/>
    <n v="51"/>
    <x v="2"/>
    <x v="1"/>
    <n v="3"/>
    <n v="50"/>
    <n v="150"/>
    <n v="2.25"/>
  </r>
  <r>
    <n v="35"/>
    <n v="2023"/>
    <n v="8"/>
    <n v="5"/>
    <m/>
    <d v="2023-08-05T00:00:00"/>
    <s v="CUST035"/>
    <x v="1"/>
    <n v="58"/>
    <x v="2"/>
    <x v="0"/>
    <n v="3"/>
    <n v="300"/>
    <n v="900"/>
    <n v="13.5"/>
  </r>
  <r>
    <n v="36"/>
    <n v="2023"/>
    <n v="6"/>
    <n v="24"/>
    <m/>
    <d v="2023-06-24T00:00:00"/>
    <s v="CUST036"/>
    <x v="0"/>
    <n v="52"/>
    <x v="2"/>
    <x v="0"/>
    <n v="3"/>
    <n v="300"/>
    <n v="900"/>
    <n v="13.5"/>
  </r>
  <r>
    <n v="37"/>
    <n v="2023"/>
    <n v="5"/>
    <n v="23"/>
    <m/>
    <d v="2023-05-23T00:00:00"/>
    <s v="CUST037"/>
    <x v="1"/>
    <n v="18"/>
    <x v="1"/>
    <x v="0"/>
    <n v="3"/>
    <n v="25"/>
    <n v="75"/>
    <n v="1.125"/>
  </r>
  <r>
    <n v="38"/>
    <n v="2023"/>
    <n v="3"/>
    <n v="21"/>
    <m/>
    <d v="2023-03-21T00:00:00"/>
    <s v="CUST038"/>
    <x v="0"/>
    <n v="38"/>
    <x v="0"/>
    <x v="0"/>
    <n v="4"/>
    <n v="50"/>
    <n v="200"/>
    <n v="3"/>
  </r>
  <r>
    <n v="39"/>
    <n v="2023"/>
    <n v="4"/>
    <n v="21"/>
    <m/>
    <d v="2023-04-21T00:00:00"/>
    <s v="CUST039"/>
    <x v="0"/>
    <n v="23"/>
    <x v="1"/>
    <x v="1"/>
    <n v="4"/>
    <n v="30"/>
    <n v="120"/>
    <n v="1.7999999999999998"/>
  </r>
  <r>
    <n v="40"/>
    <n v="2023"/>
    <n v="6"/>
    <n v="22"/>
    <m/>
    <d v="2023-06-22T00:00:00"/>
    <s v="CUST040"/>
    <x v="0"/>
    <n v="45"/>
    <x v="0"/>
    <x v="0"/>
    <n v="1"/>
    <n v="50"/>
    <n v="50"/>
    <n v="0.75"/>
  </r>
  <r>
    <n v="41"/>
    <n v="2023"/>
    <n v="2"/>
    <n v="22"/>
    <m/>
    <d v="2023-02-22T00:00:00"/>
    <s v="CUST041"/>
    <x v="0"/>
    <n v="34"/>
    <x v="0"/>
    <x v="1"/>
    <n v="2"/>
    <n v="25"/>
    <n v="50"/>
    <n v="0.75"/>
  </r>
  <r>
    <n v="42"/>
    <n v="2023"/>
    <n v="2"/>
    <n v="17"/>
    <m/>
    <d v="2023-02-17T00:00:00"/>
    <s v="CUST042"/>
    <x v="0"/>
    <n v="22"/>
    <x v="1"/>
    <x v="1"/>
    <n v="3"/>
    <n v="300"/>
    <n v="900"/>
    <n v="13.5"/>
  </r>
  <r>
    <n v="43"/>
    <n v="2023"/>
    <n v="7"/>
    <n v="14"/>
    <m/>
    <d v="2023-07-14T00:00:00"/>
    <s v="CUST043"/>
    <x v="1"/>
    <n v="48"/>
    <x v="0"/>
    <x v="1"/>
    <n v="1"/>
    <n v="300"/>
    <n v="300"/>
    <n v="4.5"/>
  </r>
  <r>
    <n v="44"/>
    <n v="2023"/>
    <n v="2"/>
    <n v="19"/>
    <m/>
    <d v="2023-02-19T00:00:00"/>
    <s v="CUST044"/>
    <x v="1"/>
    <n v="22"/>
    <x v="1"/>
    <x v="1"/>
    <n v="1"/>
    <n v="25"/>
    <n v="25"/>
    <n v="0.375"/>
  </r>
  <r>
    <n v="45"/>
    <n v="2023"/>
    <n v="7"/>
    <n v="3"/>
    <m/>
    <d v="2023-07-03T00:00:00"/>
    <s v="CUST045"/>
    <x v="1"/>
    <n v="55"/>
    <x v="2"/>
    <x v="2"/>
    <n v="1"/>
    <n v="30"/>
    <n v="30"/>
    <n v="0.44999999999999996"/>
  </r>
  <r>
    <n v="46"/>
    <n v="2023"/>
    <n v="6"/>
    <n v="26"/>
    <m/>
    <d v="2023-06-26T00:00:00"/>
    <s v="CUST046"/>
    <x v="1"/>
    <n v="20"/>
    <x v="1"/>
    <x v="2"/>
    <n v="4"/>
    <n v="300"/>
    <n v="1200"/>
    <n v="18"/>
  </r>
  <r>
    <n v="47"/>
    <n v="2023"/>
    <n v="11"/>
    <n v="6"/>
    <m/>
    <d v="2023-11-06T00:00:00"/>
    <s v="CUST047"/>
    <x v="1"/>
    <n v="40"/>
    <x v="0"/>
    <x v="0"/>
    <n v="3"/>
    <n v="500"/>
    <n v="1500"/>
    <n v="22.5"/>
  </r>
  <r>
    <n v="48"/>
    <n v="2023"/>
    <n v="5"/>
    <n v="16"/>
    <m/>
    <d v="2023-05-16T00:00:00"/>
    <s v="CUST048"/>
    <x v="0"/>
    <n v="54"/>
    <x v="2"/>
    <x v="2"/>
    <n v="3"/>
    <n v="300"/>
    <n v="900"/>
    <n v="13.5"/>
  </r>
  <r>
    <n v="49"/>
    <n v="2023"/>
    <n v="1"/>
    <n v="23"/>
    <m/>
    <d v="2023-01-23T00:00:00"/>
    <s v="CUST049"/>
    <x v="1"/>
    <n v="54"/>
    <x v="2"/>
    <x v="2"/>
    <n v="2"/>
    <n v="500"/>
    <n v="1000"/>
    <n v="15"/>
  </r>
  <r>
    <n v="50"/>
    <n v="2023"/>
    <n v="8"/>
    <n v="24"/>
    <m/>
    <d v="2023-08-24T00:00:00"/>
    <s v="CUST050"/>
    <x v="1"/>
    <n v="27"/>
    <x v="1"/>
    <x v="0"/>
    <n v="3"/>
    <n v="25"/>
    <n v="75"/>
    <n v="1.125"/>
  </r>
  <r>
    <n v="51"/>
    <n v="2023"/>
    <n v="10"/>
    <n v="2"/>
    <m/>
    <d v="2023-10-02T00:00:00"/>
    <s v="CUST051"/>
    <x v="0"/>
    <n v="27"/>
    <x v="1"/>
    <x v="0"/>
    <n v="3"/>
    <n v="25"/>
    <n v="75"/>
    <n v="1.125"/>
  </r>
  <r>
    <n v="52"/>
    <n v="2023"/>
    <n v="3"/>
    <n v="5"/>
    <m/>
    <d v="2023-03-05T00:00:00"/>
    <s v="CUST052"/>
    <x v="1"/>
    <n v="36"/>
    <x v="0"/>
    <x v="0"/>
    <n v="1"/>
    <n v="300"/>
    <n v="300"/>
    <n v="4.5"/>
  </r>
  <r>
    <n v="53"/>
    <n v="2023"/>
    <n v="7"/>
    <n v="13"/>
    <m/>
    <d v="2023-07-13T00:00:00"/>
    <s v="CUST053"/>
    <x v="0"/>
    <n v="34"/>
    <x v="0"/>
    <x v="2"/>
    <n v="2"/>
    <n v="50"/>
    <n v="100"/>
    <n v="1.5"/>
  </r>
  <r>
    <n v="54"/>
    <n v="2023"/>
    <n v="2"/>
    <n v="10"/>
    <m/>
    <d v="2023-02-10T00:00:00"/>
    <s v="CUST054"/>
    <x v="1"/>
    <n v="38"/>
    <x v="0"/>
    <x v="2"/>
    <n v="3"/>
    <n v="500"/>
    <n v="1500"/>
    <n v="22.5"/>
  </r>
  <r>
    <n v="55"/>
    <n v="2023"/>
    <n v="10"/>
    <n v="10"/>
    <m/>
    <d v="2023-10-10T00:00:00"/>
    <s v="CUST055"/>
    <x v="0"/>
    <n v="31"/>
    <x v="0"/>
    <x v="0"/>
    <n v="4"/>
    <n v="30"/>
    <n v="120"/>
    <n v="1.7999999999999998"/>
  </r>
  <r>
    <n v="56"/>
    <n v="2023"/>
    <n v="5"/>
    <n v="31"/>
    <m/>
    <d v="2023-05-31T00:00:00"/>
    <s v="CUST056"/>
    <x v="1"/>
    <n v="26"/>
    <x v="1"/>
    <x v="1"/>
    <n v="3"/>
    <n v="300"/>
    <n v="900"/>
    <n v="13.5"/>
  </r>
  <r>
    <n v="57"/>
    <n v="2023"/>
    <n v="11"/>
    <n v="18"/>
    <m/>
    <d v="2023-11-18T00:00:00"/>
    <s v="CUST057"/>
    <x v="1"/>
    <n v="63"/>
    <x v="2"/>
    <x v="0"/>
    <n v="1"/>
    <n v="30"/>
    <n v="30"/>
    <n v="0.44999999999999996"/>
  </r>
  <r>
    <n v="58"/>
    <n v="2023"/>
    <n v="11"/>
    <n v="13"/>
    <m/>
    <d v="2023-11-13T00:00:00"/>
    <s v="CUST058"/>
    <x v="0"/>
    <n v="18"/>
    <x v="1"/>
    <x v="1"/>
    <n v="4"/>
    <n v="300"/>
    <n v="1200"/>
    <n v="18"/>
  </r>
  <r>
    <n v="59"/>
    <n v="2023"/>
    <n v="7"/>
    <n v="5"/>
    <m/>
    <d v="2023-07-05T00:00:00"/>
    <s v="CUST059"/>
    <x v="0"/>
    <n v="62"/>
    <x v="2"/>
    <x v="1"/>
    <n v="1"/>
    <n v="50"/>
    <n v="50"/>
    <n v="0.75"/>
  </r>
  <r>
    <n v="60"/>
    <n v="2023"/>
    <n v="10"/>
    <n v="23"/>
    <m/>
    <d v="2023-10-23T00:00:00"/>
    <s v="CUST060"/>
    <x v="0"/>
    <n v="30"/>
    <x v="0"/>
    <x v="0"/>
    <n v="3"/>
    <n v="50"/>
    <n v="150"/>
    <n v="2.25"/>
  </r>
  <r>
    <n v="61"/>
    <n v="2023"/>
    <n v="4"/>
    <n v="9"/>
    <m/>
    <d v="2023-04-09T00:00:00"/>
    <s v="CUST061"/>
    <x v="0"/>
    <n v="21"/>
    <x v="1"/>
    <x v="0"/>
    <n v="4"/>
    <n v="50"/>
    <n v="200"/>
    <n v="3"/>
  </r>
  <r>
    <n v="62"/>
    <n v="2023"/>
    <n v="12"/>
    <n v="27"/>
    <m/>
    <d v="2023-12-27T00:00:00"/>
    <s v="CUST062"/>
    <x v="0"/>
    <n v="18"/>
    <x v="1"/>
    <x v="0"/>
    <n v="2"/>
    <n v="50"/>
    <n v="100"/>
    <n v="1.5"/>
  </r>
  <r>
    <n v="63"/>
    <n v="2023"/>
    <n v="2"/>
    <n v="5"/>
    <m/>
    <d v="2023-02-05T00:00:00"/>
    <s v="CUST063"/>
    <x v="0"/>
    <n v="57"/>
    <x v="2"/>
    <x v="2"/>
    <n v="2"/>
    <n v="25"/>
    <n v="50"/>
    <n v="0.75"/>
  </r>
  <r>
    <n v="64"/>
    <n v="2023"/>
    <n v="1"/>
    <n v="24"/>
    <m/>
    <d v="2023-01-24T00:00:00"/>
    <s v="CUST064"/>
    <x v="0"/>
    <n v="49"/>
    <x v="0"/>
    <x v="1"/>
    <n v="4"/>
    <n v="25"/>
    <n v="100"/>
    <n v="1.5"/>
  </r>
  <r>
    <n v="65"/>
    <n v="2023"/>
    <n v="12"/>
    <n v="5"/>
    <m/>
    <d v="2023-12-05T00:00:00"/>
    <s v="CUST065"/>
    <x v="0"/>
    <n v="51"/>
    <x v="2"/>
    <x v="2"/>
    <n v="4"/>
    <n v="500"/>
    <n v="2000"/>
    <n v="30"/>
  </r>
  <r>
    <n v="66"/>
    <n v="2023"/>
    <n v="4"/>
    <n v="27"/>
    <m/>
    <d v="2023-04-27T00:00:00"/>
    <s v="CUST066"/>
    <x v="1"/>
    <n v="45"/>
    <x v="0"/>
    <x v="2"/>
    <n v="1"/>
    <n v="30"/>
    <n v="30"/>
    <n v="0.44999999999999996"/>
  </r>
  <r>
    <n v="67"/>
    <n v="2023"/>
    <n v="5"/>
    <n v="29"/>
    <m/>
    <d v="2023-05-29T00:00:00"/>
    <s v="CUST067"/>
    <x v="1"/>
    <n v="48"/>
    <x v="0"/>
    <x v="0"/>
    <n v="4"/>
    <n v="300"/>
    <n v="1200"/>
    <n v="18"/>
  </r>
  <r>
    <n v="68"/>
    <n v="2023"/>
    <n v="2"/>
    <n v="10"/>
    <m/>
    <d v="2023-02-10T00:00:00"/>
    <s v="CUST068"/>
    <x v="0"/>
    <n v="25"/>
    <x v="1"/>
    <x v="2"/>
    <n v="1"/>
    <n v="300"/>
    <n v="300"/>
    <n v="4.5"/>
  </r>
  <r>
    <n v="69"/>
    <n v="2023"/>
    <n v="4"/>
    <n v="30"/>
    <m/>
    <d v="2023-04-30T00:00:00"/>
    <s v="CUST069"/>
    <x v="1"/>
    <n v="56"/>
    <x v="2"/>
    <x v="0"/>
    <n v="3"/>
    <n v="25"/>
    <n v="75"/>
    <n v="1.125"/>
  </r>
  <r>
    <n v="70"/>
    <n v="2023"/>
    <n v="2"/>
    <n v="21"/>
    <m/>
    <d v="2023-02-21T00:00:00"/>
    <s v="CUST070"/>
    <x v="1"/>
    <n v="43"/>
    <x v="0"/>
    <x v="1"/>
    <n v="1"/>
    <n v="300"/>
    <n v="300"/>
    <n v="4.5"/>
  </r>
  <r>
    <n v="71"/>
    <n v="2023"/>
    <n v="7"/>
    <n v="14"/>
    <m/>
    <d v="2023-07-14T00:00:00"/>
    <s v="CUST071"/>
    <x v="1"/>
    <n v="51"/>
    <x v="2"/>
    <x v="0"/>
    <n v="4"/>
    <n v="25"/>
    <n v="100"/>
    <n v="1.5"/>
  </r>
  <r>
    <n v="72"/>
    <n v="2023"/>
    <n v="5"/>
    <n v="23"/>
    <m/>
    <d v="2023-05-23T00:00:00"/>
    <s v="CUST072"/>
    <x v="1"/>
    <n v="20"/>
    <x v="1"/>
    <x v="2"/>
    <n v="4"/>
    <n v="500"/>
    <n v="2000"/>
    <n v="30"/>
  </r>
  <r>
    <n v="73"/>
    <n v="2023"/>
    <n v="8"/>
    <n v="21"/>
    <m/>
    <d v="2023-08-21T00:00:00"/>
    <s v="CUST073"/>
    <x v="0"/>
    <n v="29"/>
    <x v="1"/>
    <x v="2"/>
    <n v="3"/>
    <n v="30"/>
    <n v="90"/>
    <n v="1.3499999999999999"/>
  </r>
  <r>
    <n v="74"/>
    <n v="2023"/>
    <n v="11"/>
    <n v="22"/>
    <m/>
    <d v="2023-11-22T00:00:00"/>
    <s v="CUST074"/>
    <x v="1"/>
    <n v="18"/>
    <x v="1"/>
    <x v="0"/>
    <n v="4"/>
    <n v="500"/>
    <n v="2000"/>
    <n v="30"/>
  </r>
  <r>
    <n v="75"/>
    <n v="2023"/>
    <n v="7"/>
    <n v="6"/>
    <m/>
    <d v="2023-07-06T00:00:00"/>
    <s v="CUST075"/>
    <x v="0"/>
    <n v="61"/>
    <x v="2"/>
    <x v="0"/>
    <n v="4"/>
    <n v="50"/>
    <n v="200"/>
    <n v="3"/>
  </r>
  <r>
    <n v="76"/>
    <n v="2023"/>
    <n v="3"/>
    <n v="25"/>
    <m/>
    <d v="2023-03-25T00:00:00"/>
    <s v="CUST076"/>
    <x v="1"/>
    <n v="22"/>
    <x v="1"/>
    <x v="2"/>
    <n v="2"/>
    <n v="50"/>
    <n v="100"/>
    <n v="1.5"/>
  </r>
  <r>
    <n v="77"/>
    <n v="2023"/>
    <n v="7"/>
    <n v="9"/>
    <m/>
    <d v="2023-07-09T00:00:00"/>
    <s v="CUST077"/>
    <x v="1"/>
    <n v="47"/>
    <x v="0"/>
    <x v="1"/>
    <n v="2"/>
    <n v="50"/>
    <n v="100"/>
    <n v="1.5"/>
  </r>
  <r>
    <n v="78"/>
    <n v="2023"/>
    <n v="7"/>
    <n v="1"/>
    <m/>
    <d v="2023-07-01T00:00:00"/>
    <s v="CUST078"/>
    <x v="1"/>
    <n v="47"/>
    <x v="0"/>
    <x v="1"/>
    <n v="3"/>
    <n v="500"/>
    <n v="1500"/>
    <n v="22.5"/>
  </r>
  <r>
    <n v="79"/>
    <n v="2023"/>
    <n v="4"/>
    <n v="18"/>
    <m/>
    <d v="2023-04-18T00:00:00"/>
    <s v="CUST079"/>
    <x v="0"/>
    <n v="34"/>
    <x v="0"/>
    <x v="0"/>
    <n v="1"/>
    <n v="300"/>
    <n v="300"/>
    <n v="4.5"/>
  </r>
  <r>
    <n v="80"/>
    <n v="2023"/>
    <n v="12"/>
    <n v="10"/>
    <m/>
    <d v="2023-12-10T00:00:00"/>
    <s v="CUST080"/>
    <x v="1"/>
    <n v="64"/>
    <x v="2"/>
    <x v="1"/>
    <n v="2"/>
    <n v="30"/>
    <n v="60"/>
    <n v="0.89999999999999991"/>
  </r>
  <r>
    <n v="81"/>
    <n v="2023"/>
    <n v="5"/>
    <n v="17"/>
    <m/>
    <d v="2023-05-17T00:00:00"/>
    <s v="CUST081"/>
    <x v="0"/>
    <n v="40"/>
    <x v="0"/>
    <x v="2"/>
    <n v="1"/>
    <n v="50"/>
    <n v="50"/>
    <n v="0.75"/>
  </r>
  <r>
    <n v="82"/>
    <n v="2023"/>
    <n v="12"/>
    <n v="26"/>
    <m/>
    <d v="2023-12-26T00:00:00"/>
    <s v="CUST082"/>
    <x v="1"/>
    <n v="32"/>
    <x v="0"/>
    <x v="0"/>
    <n v="4"/>
    <n v="50"/>
    <n v="200"/>
    <n v="3"/>
  </r>
  <r>
    <n v="83"/>
    <n v="2023"/>
    <n v="12"/>
    <n v="16"/>
    <m/>
    <d v="2023-12-16T00:00:00"/>
    <s v="CUST083"/>
    <x v="0"/>
    <n v="54"/>
    <x v="2"/>
    <x v="2"/>
    <n v="2"/>
    <n v="50"/>
    <n v="100"/>
    <n v="1.5"/>
  </r>
  <r>
    <n v="84"/>
    <n v="2023"/>
    <n v="11"/>
    <n v="28"/>
    <m/>
    <d v="2023-11-28T00:00:00"/>
    <s v="CUST084"/>
    <x v="1"/>
    <n v="38"/>
    <x v="0"/>
    <x v="2"/>
    <n v="3"/>
    <n v="30"/>
    <n v="90"/>
    <n v="1.3499999999999999"/>
  </r>
  <r>
    <n v="85"/>
    <n v="2023"/>
    <n v="2"/>
    <n v="6"/>
    <m/>
    <d v="2023-02-06T00:00:00"/>
    <s v="CUST085"/>
    <x v="0"/>
    <n v="31"/>
    <x v="0"/>
    <x v="1"/>
    <n v="3"/>
    <n v="50"/>
    <n v="150"/>
    <n v="2.25"/>
  </r>
  <r>
    <n v="86"/>
    <n v="2023"/>
    <n v="11"/>
    <n v="8"/>
    <m/>
    <d v="2023-11-08T00:00:00"/>
    <s v="CUST086"/>
    <x v="0"/>
    <n v="19"/>
    <x v="1"/>
    <x v="0"/>
    <n v="3"/>
    <n v="30"/>
    <n v="90"/>
    <n v="1.3499999999999999"/>
  </r>
  <r>
    <n v="87"/>
    <n v="2023"/>
    <n v="11"/>
    <n v="22"/>
    <m/>
    <d v="2023-11-22T00:00:00"/>
    <s v="CUST087"/>
    <x v="1"/>
    <n v="28"/>
    <x v="1"/>
    <x v="0"/>
    <n v="2"/>
    <n v="50"/>
    <n v="100"/>
    <n v="1.5"/>
  </r>
  <r>
    <n v="88"/>
    <n v="2023"/>
    <n v="3"/>
    <n v="29"/>
    <m/>
    <d v="2023-03-29T00:00:00"/>
    <s v="CUST088"/>
    <x v="0"/>
    <n v="56"/>
    <x v="2"/>
    <x v="1"/>
    <n v="1"/>
    <n v="500"/>
    <n v="500"/>
    <n v="7.5"/>
  </r>
  <r>
    <n v="89"/>
    <n v="2023"/>
    <n v="10"/>
    <n v="1"/>
    <m/>
    <d v="2023-10-01T00:00:00"/>
    <s v="CUST089"/>
    <x v="1"/>
    <n v="55"/>
    <x v="2"/>
    <x v="2"/>
    <n v="4"/>
    <n v="500"/>
    <n v="2000"/>
    <n v="30"/>
  </r>
  <r>
    <n v="90"/>
    <n v="2023"/>
    <n v="5"/>
    <n v="6"/>
    <m/>
    <d v="2023-05-06T00:00:00"/>
    <s v="CUST090"/>
    <x v="1"/>
    <n v="51"/>
    <x v="2"/>
    <x v="2"/>
    <n v="1"/>
    <n v="30"/>
    <n v="30"/>
    <n v="0.44999999999999996"/>
  </r>
  <r>
    <n v="91"/>
    <n v="2023"/>
    <n v="3"/>
    <n v="25"/>
    <m/>
    <d v="2023-03-25T00:00:00"/>
    <s v="CUST091"/>
    <x v="1"/>
    <n v="55"/>
    <x v="2"/>
    <x v="2"/>
    <n v="1"/>
    <n v="500"/>
    <n v="500"/>
    <n v="7.5"/>
  </r>
  <r>
    <n v="92"/>
    <n v="2023"/>
    <n v="8"/>
    <n v="25"/>
    <m/>
    <d v="2023-08-25T00:00:00"/>
    <s v="CUST092"/>
    <x v="1"/>
    <n v="51"/>
    <x v="2"/>
    <x v="2"/>
    <n v="4"/>
    <n v="30"/>
    <n v="120"/>
    <n v="1.7999999999999998"/>
  </r>
  <r>
    <n v="93"/>
    <n v="2023"/>
    <n v="7"/>
    <n v="14"/>
    <m/>
    <d v="2023-07-14T00:00:00"/>
    <s v="CUST093"/>
    <x v="1"/>
    <n v="35"/>
    <x v="0"/>
    <x v="0"/>
    <n v="4"/>
    <n v="500"/>
    <n v="2000"/>
    <n v="30"/>
  </r>
  <r>
    <n v="94"/>
    <n v="2023"/>
    <n v="5"/>
    <n v="19"/>
    <m/>
    <d v="2023-05-19T00:00:00"/>
    <s v="CUST094"/>
    <x v="1"/>
    <n v="47"/>
    <x v="0"/>
    <x v="0"/>
    <n v="2"/>
    <n v="500"/>
    <n v="1000"/>
    <n v="15"/>
  </r>
  <r>
    <n v="95"/>
    <n v="2023"/>
    <n v="11"/>
    <n v="24"/>
    <m/>
    <d v="2023-11-24T00:00:00"/>
    <s v="CUST095"/>
    <x v="1"/>
    <n v="32"/>
    <x v="0"/>
    <x v="1"/>
    <n v="2"/>
    <n v="30"/>
    <n v="60"/>
    <n v="0.89999999999999991"/>
  </r>
  <r>
    <n v="96"/>
    <n v="2023"/>
    <n v="12"/>
    <n v="19"/>
    <m/>
    <d v="2023-12-19T00:00:00"/>
    <s v="CUST096"/>
    <x v="1"/>
    <n v="44"/>
    <x v="0"/>
    <x v="1"/>
    <n v="2"/>
    <n v="300"/>
    <n v="600"/>
    <n v="9"/>
  </r>
  <r>
    <n v="97"/>
    <n v="2023"/>
    <n v="10"/>
    <n v="13"/>
    <m/>
    <d v="2023-10-13T00:00:00"/>
    <s v="CUST097"/>
    <x v="1"/>
    <n v="51"/>
    <x v="2"/>
    <x v="0"/>
    <n v="2"/>
    <n v="500"/>
    <n v="1000"/>
    <n v="15"/>
  </r>
  <r>
    <n v="98"/>
    <n v="2023"/>
    <n v="4"/>
    <n v="23"/>
    <m/>
    <d v="2023-04-23T00:00:00"/>
    <s v="CUST098"/>
    <x v="1"/>
    <n v="55"/>
    <x v="2"/>
    <x v="0"/>
    <n v="2"/>
    <n v="50"/>
    <n v="100"/>
    <n v="1.5"/>
  </r>
  <r>
    <n v="99"/>
    <n v="2023"/>
    <n v="12"/>
    <n v="17"/>
    <m/>
    <d v="2023-12-17T00:00:00"/>
    <s v="CUST099"/>
    <x v="1"/>
    <n v="50"/>
    <x v="2"/>
    <x v="2"/>
    <n v="4"/>
    <n v="300"/>
    <n v="1200"/>
    <n v="18"/>
  </r>
  <r>
    <n v="100"/>
    <n v="2023"/>
    <n v="6"/>
    <n v="16"/>
    <m/>
    <d v="2023-06-16T00:00:00"/>
    <s v="CUST100"/>
    <x v="0"/>
    <n v="41"/>
    <x v="0"/>
    <x v="2"/>
    <n v="1"/>
    <n v="30"/>
    <n v="30"/>
    <n v="0.44999999999999996"/>
  </r>
  <r>
    <n v="101"/>
    <n v="2023"/>
    <n v="1"/>
    <n v="29"/>
    <m/>
    <d v="2023-01-29T00:00:00"/>
    <s v="CUST101"/>
    <x v="0"/>
    <n v="32"/>
    <x v="0"/>
    <x v="1"/>
    <n v="2"/>
    <n v="300"/>
    <n v="600"/>
    <n v="9"/>
  </r>
  <r>
    <n v="102"/>
    <n v="2023"/>
    <n v="4"/>
    <n v="28"/>
    <m/>
    <d v="2023-04-28T00:00:00"/>
    <s v="CUST102"/>
    <x v="1"/>
    <n v="47"/>
    <x v="0"/>
    <x v="0"/>
    <n v="2"/>
    <n v="25"/>
    <n v="50"/>
    <n v="0.75"/>
  </r>
  <r>
    <n v="103"/>
    <n v="2023"/>
    <n v="1"/>
    <n v="17"/>
    <m/>
    <d v="2023-01-17T00:00:00"/>
    <s v="CUST103"/>
    <x v="1"/>
    <n v="59"/>
    <x v="2"/>
    <x v="1"/>
    <n v="1"/>
    <n v="25"/>
    <n v="25"/>
    <n v="0.375"/>
  </r>
  <r>
    <n v="104"/>
    <n v="2023"/>
    <n v="6"/>
    <n v="11"/>
    <m/>
    <d v="2023-06-11T00:00:00"/>
    <s v="CUST104"/>
    <x v="1"/>
    <n v="34"/>
    <x v="0"/>
    <x v="0"/>
    <n v="2"/>
    <n v="500"/>
    <n v="1000"/>
    <n v="15"/>
  </r>
  <r>
    <n v="105"/>
    <n v="2023"/>
    <n v="7"/>
    <n v="25"/>
    <m/>
    <d v="2023-07-25T00:00:00"/>
    <s v="CUST105"/>
    <x v="1"/>
    <n v="22"/>
    <x v="1"/>
    <x v="2"/>
    <n v="1"/>
    <n v="500"/>
    <n v="500"/>
    <n v="7.5"/>
  </r>
  <r>
    <n v="106"/>
    <n v="2023"/>
    <n v="5"/>
    <n v="18"/>
    <m/>
    <d v="2023-05-18T00:00:00"/>
    <s v="CUST106"/>
    <x v="1"/>
    <n v="46"/>
    <x v="0"/>
    <x v="1"/>
    <n v="1"/>
    <n v="50"/>
    <n v="50"/>
    <n v="0.75"/>
  </r>
  <r>
    <n v="107"/>
    <n v="2023"/>
    <n v="2"/>
    <n v="3"/>
    <m/>
    <d v="2023-02-03T00:00:00"/>
    <s v="CUST107"/>
    <x v="1"/>
    <n v="21"/>
    <x v="1"/>
    <x v="1"/>
    <n v="4"/>
    <n v="300"/>
    <n v="1200"/>
    <n v="18"/>
  </r>
  <r>
    <n v="108"/>
    <n v="2023"/>
    <n v="4"/>
    <n v="19"/>
    <m/>
    <d v="2023-04-19T00:00:00"/>
    <s v="CUST108"/>
    <x v="1"/>
    <n v="27"/>
    <x v="1"/>
    <x v="0"/>
    <n v="3"/>
    <n v="25"/>
    <n v="75"/>
    <n v="1.125"/>
  </r>
  <r>
    <n v="109"/>
    <n v="2023"/>
    <n v="10"/>
    <n v="18"/>
    <m/>
    <d v="2023-10-18T00:00:00"/>
    <s v="CUST109"/>
    <x v="1"/>
    <n v="34"/>
    <x v="0"/>
    <x v="2"/>
    <n v="4"/>
    <n v="500"/>
    <n v="2000"/>
    <n v="30"/>
  </r>
  <r>
    <n v="110"/>
    <n v="2023"/>
    <n v="6"/>
    <n v="11"/>
    <m/>
    <d v="2023-06-11T00:00:00"/>
    <s v="CUST110"/>
    <x v="0"/>
    <n v="27"/>
    <x v="1"/>
    <x v="1"/>
    <n v="3"/>
    <n v="300"/>
    <n v="900"/>
    <n v="13.5"/>
  </r>
  <r>
    <n v="111"/>
    <n v="2023"/>
    <n v="4"/>
    <n v="19"/>
    <m/>
    <d v="2023-04-19T00:00:00"/>
    <s v="CUST111"/>
    <x v="1"/>
    <n v="34"/>
    <x v="0"/>
    <x v="2"/>
    <n v="3"/>
    <n v="500"/>
    <n v="1500"/>
    <n v="22.5"/>
  </r>
  <r>
    <n v="112"/>
    <n v="2023"/>
    <n v="12"/>
    <n v="2"/>
    <m/>
    <d v="2023-12-02T00:00:00"/>
    <s v="CUST112"/>
    <x v="0"/>
    <n v="37"/>
    <x v="0"/>
    <x v="1"/>
    <n v="3"/>
    <n v="500"/>
    <n v="1500"/>
    <n v="22.5"/>
  </r>
  <r>
    <n v="113"/>
    <n v="2023"/>
    <n v="9"/>
    <n v="13"/>
    <m/>
    <d v="2023-09-13T00:00:00"/>
    <s v="CUST113"/>
    <x v="1"/>
    <n v="41"/>
    <x v="0"/>
    <x v="2"/>
    <n v="2"/>
    <n v="25"/>
    <n v="50"/>
    <n v="0.75"/>
  </r>
  <r>
    <n v="114"/>
    <n v="2023"/>
    <n v="7"/>
    <n v="22"/>
    <m/>
    <d v="2023-07-22T00:00:00"/>
    <s v="CUST114"/>
    <x v="1"/>
    <n v="22"/>
    <x v="1"/>
    <x v="0"/>
    <n v="4"/>
    <n v="25"/>
    <n v="100"/>
    <n v="1.5"/>
  </r>
  <r>
    <n v="115"/>
    <n v="2023"/>
    <n v="11"/>
    <n v="26"/>
    <m/>
    <d v="2023-11-26T00:00:00"/>
    <s v="CUST115"/>
    <x v="0"/>
    <n v="51"/>
    <x v="2"/>
    <x v="1"/>
    <n v="3"/>
    <n v="500"/>
    <n v="1500"/>
    <n v="22.5"/>
  </r>
  <r>
    <n v="116"/>
    <n v="2023"/>
    <n v="8"/>
    <n v="23"/>
    <m/>
    <d v="2023-08-23T00:00:00"/>
    <s v="CUST116"/>
    <x v="1"/>
    <n v="23"/>
    <x v="1"/>
    <x v="1"/>
    <n v="1"/>
    <n v="30"/>
    <n v="30"/>
    <n v="0.44999999999999996"/>
  </r>
  <r>
    <n v="117"/>
    <n v="2023"/>
    <n v="3"/>
    <n v="15"/>
    <m/>
    <d v="2023-03-15T00:00:00"/>
    <s v="CUST117"/>
    <x v="0"/>
    <n v="19"/>
    <x v="1"/>
    <x v="2"/>
    <n v="2"/>
    <n v="500"/>
    <n v="1000"/>
    <n v="15"/>
  </r>
  <r>
    <n v="118"/>
    <n v="2023"/>
    <n v="5"/>
    <n v="16"/>
    <m/>
    <d v="2023-05-16T00:00:00"/>
    <s v="CUST118"/>
    <x v="1"/>
    <n v="30"/>
    <x v="0"/>
    <x v="2"/>
    <n v="4"/>
    <n v="500"/>
    <n v="2000"/>
    <n v="30"/>
  </r>
  <r>
    <n v="119"/>
    <n v="2023"/>
    <n v="3"/>
    <n v="13"/>
    <m/>
    <d v="2023-03-13T00:00:00"/>
    <s v="CUST119"/>
    <x v="1"/>
    <n v="60"/>
    <x v="2"/>
    <x v="1"/>
    <n v="3"/>
    <n v="50"/>
    <n v="150"/>
    <n v="2.25"/>
  </r>
  <r>
    <n v="120"/>
    <n v="2023"/>
    <n v="5"/>
    <n v="7"/>
    <m/>
    <d v="2023-05-07T00:00:00"/>
    <s v="CUST120"/>
    <x v="0"/>
    <n v="60"/>
    <x v="2"/>
    <x v="0"/>
    <n v="1"/>
    <n v="50"/>
    <n v="50"/>
    <n v="0.75"/>
  </r>
  <r>
    <n v="121"/>
    <n v="2023"/>
    <n v="10"/>
    <n v="15"/>
    <m/>
    <d v="2023-10-15T00:00:00"/>
    <s v="CUST121"/>
    <x v="1"/>
    <n v="28"/>
    <x v="1"/>
    <x v="2"/>
    <n v="4"/>
    <n v="50"/>
    <n v="200"/>
    <n v="3"/>
  </r>
  <r>
    <n v="122"/>
    <n v="2023"/>
    <n v="10"/>
    <n v="3"/>
    <m/>
    <d v="2023-10-03T00:00:00"/>
    <s v="CUST122"/>
    <x v="0"/>
    <n v="64"/>
    <x v="2"/>
    <x v="2"/>
    <n v="4"/>
    <n v="30"/>
    <n v="120"/>
    <n v="1.7999999999999998"/>
  </r>
  <r>
    <n v="123"/>
    <n v="2023"/>
    <n v="5"/>
    <n v="15"/>
    <m/>
    <d v="2023-05-15T00:00:00"/>
    <s v="CUST123"/>
    <x v="1"/>
    <n v="40"/>
    <x v="0"/>
    <x v="2"/>
    <n v="2"/>
    <n v="30"/>
    <n v="60"/>
    <n v="0.89999999999999991"/>
  </r>
  <r>
    <n v="124"/>
    <n v="2023"/>
    <n v="10"/>
    <n v="27"/>
    <m/>
    <d v="2023-10-27T00:00:00"/>
    <s v="CUST124"/>
    <x v="0"/>
    <n v="33"/>
    <x v="0"/>
    <x v="1"/>
    <n v="4"/>
    <n v="500"/>
    <n v="2000"/>
    <n v="30"/>
  </r>
  <r>
    <n v="125"/>
    <n v="2023"/>
    <n v="8"/>
    <n v="8"/>
    <m/>
    <d v="2023-08-08T00:00:00"/>
    <s v="CUST125"/>
    <x v="0"/>
    <n v="48"/>
    <x v="0"/>
    <x v="1"/>
    <n v="2"/>
    <n v="50"/>
    <n v="100"/>
    <n v="1.5"/>
  </r>
  <r>
    <n v="126"/>
    <n v="2023"/>
    <n v="10"/>
    <n v="26"/>
    <m/>
    <d v="2023-10-26T00:00:00"/>
    <s v="CUST126"/>
    <x v="1"/>
    <n v="28"/>
    <x v="1"/>
    <x v="1"/>
    <n v="3"/>
    <n v="30"/>
    <n v="90"/>
    <n v="1.3499999999999999"/>
  </r>
  <r>
    <n v="127"/>
    <n v="2023"/>
    <n v="7"/>
    <n v="24"/>
    <m/>
    <d v="2023-07-24T00:00:00"/>
    <s v="CUST127"/>
    <x v="1"/>
    <n v="33"/>
    <x v="0"/>
    <x v="1"/>
    <n v="2"/>
    <n v="25"/>
    <n v="50"/>
    <n v="0.75"/>
  </r>
  <r>
    <n v="128"/>
    <n v="2023"/>
    <n v="7"/>
    <n v="5"/>
    <m/>
    <d v="2023-07-05T00:00:00"/>
    <s v="CUST128"/>
    <x v="0"/>
    <n v="25"/>
    <x v="1"/>
    <x v="0"/>
    <n v="1"/>
    <n v="500"/>
    <n v="500"/>
    <n v="7.5"/>
  </r>
  <r>
    <n v="129"/>
    <n v="2023"/>
    <n v="4"/>
    <n v="23"/>
    <m/>
    <d v="2023-04-23T00:00:00"/>
    <s v="CUST129"/>
    <x v="1"/>
    <n v="21"/>
    <x v="1"/>
    <x v="0"/>
    <n v="2"/>
    <n v="300"/>
    <n v="600"/>
    <n v="9"/>
  </r>
  <r>
    <n v="130"/>
    <n v="2023"/>
    <n v="3"/>
    <n v="12"/>
    <m/>
    <d v="2023-03-12T00:00:00"/>
    <s v="CUST130"/>
    <x v="1"/>
    <n v="57"/>
    <x v="2"/>
    <x v="1"/>
    <n v="1"/>
    <n v="500"/>
    <n v="500"/>
    <n v="7.5"/>
  </r>
  <r>
    <n v="131"/>
    <n v="2023"/>
    <n v="9"/>
    <n v="18"/>
    <m/>
    <d v="2023-09-18T00:00:00"/>
    <s v="CUST131"/>
    <x v="1"/>
    <n v="21"/>
    <x v="1"/>
    <x v="0"/>
    <n v="2"/>
    <n v="300"/>
    <n v="600"/>
    <n v="9"/>
  </r>
  <r>
    <n v="132"/>
    <n v="2023"/>
    <n v="9"/>
    <n v="10"/>
    <m/>
    <d v="2023-09-10T00:00:00"/>
    <s v="CUST132"/>
    <x v="0"/>
    <n v="42"/>
    <x v="0"/>
    <x v="2"/>
    <n v="4"/>
    <n v="50"/>
    <n v="200"/>
    <n v="3"/>
  </r>
  <r>
    <n v="133"/>
    <n v="2023"/>
    <n v="2"/>
    <n v="16"/>
    <m/>
    <d v="2023-02-16T00:00:00"/>
    <s v="CUST133"/>
    <x v="0"/>
    <n v="20"/>
    <x v="1"/>
    <x v="2"/>
    <n v="3"/>
    <n v="300"/>
    <n v="900"/>
    <n v="13.5"/>
  </r>
  <r>
    <n v="134"/>
    <n v="2023"/>
    <n v="1"/>
    <n v="25"/>
    <m/>
    <d v="2023-01-25T00:00:00"/>
    <s v="CUST134"/>
    <x v="0"/>
    <n v="49"/>
    <x v="0"/>
    <x v="2"/>
    <n v="1"/>
    <n v="50"/>
    <n v="50"/>
    <n v="0.75"/>
  </r>
  <r>
    <n v="135"/>
    <n v="2023"/>
    <n v="2"/>
    <n v="26"/>
    <m/>
    <d v="2023-02-26T00:00:00"/>
    <s v="CUST135"/>
    <x v="0"/>
    <n v="20"/>
    <x v="1"/>
    <x v="1"/>
    <n v="2"/>
    <n v="25"/>
    <n v="50"/>
    <n v="0.75"/>
  </r>
  <r>
    <n v="136"/>
    <n v="2023"/>
    <n v="3"/>
    <n v="20"/>
    <m/>
    <d v="2023-03-20T00:00:00"/>
    <s v="CUST136"/>
    <x v="0"/>
    <n v="44"/>
    <x v="0"/>
    <x v="2"/>
    <n v="2"/>
    <n v="300"/>
    <n v="600"/>
    <n v="9"/>
  </r>
  <r>
    <n v="137"/>
    <n v="2023"/>
    <n v="11"/>
    <n v="18"/>
    <m/>
    <d v="2023-11-18T00:00:00"/>
    <s v="CUST137"/>
    <x v="0"/>
    <n v="46"/>
    <x v="0"/>
    <x v="0"/>
    <n v="2"/>
    <n v="500"/>
    <n v="1000"/>
    <n v="15"/>
  </r>
  <r>
    <n v="138"/>
    <n v="2023"/>
    <n v="3"/>
    <n v="23"/>
    <m/>
    <d v="2023-03-23T00:00:00"/>
    <s v="CUST138"/>
    <x v="0"/>
    <n v="49"/>
    <x v="0"/>
    <x v="1"/>
    <n v="4"/>
    <n v="50"/>
    <n v="200"/>
    <n v="3"/>
  </r>
  <r>
    <n v="139"/>
    <n v="2023"/>
    <n v="12"/>
    <n v="15"/>
    <m/>
    <d v="2023-12-15T00:00:00"/>
    <s v="CUST139"/>
    <x v="0"/>
    <n v="36"/>
    <x v="0"/>
    <x v="0"/>
    <n v="4"/>
    <n v="500"/>
    <n v="2000"/>
    <n v="30"/>
  </r>
  <r>
    <n v="140"/>
    <n v="2023"/>
    <n v="8"/>
    <n v="5"/>
    <m/>
    <d v="2023-08-05T00:00:00"/>
    <s v="CUST140"/>
    <x v="0"/>
    <n v="38"/>
    <x v="0"/>
    <x v="2"/>
    <n v="1"/>
    <n v="30"/>
    <n v="30"/>
    <n v="0.44999999999999996"/>
  </r>
  <r>
    <n v="141"/>
    <n v="2023"/>
    <n v="11"/>
    <n v="2"/>
    <m/>
    <d v="2023-11-02T00:00:00"/>
    <s v="CUST141"/>
    <x v="1"/>
    <n v="22"/>
    <x v="1"/>
    <x v="2"/>
    <n v="1"/>
    <n v="50"/>
    <n v="50"/>
    <n v="0.75"/>
  </r>
  <r>
    <n v="142"/>
    <n v="2023"/>
    <n v="2"/>
    <n v="2"/>
    <m/>
    <d v="2023-02-02T00:00:00"/>
    <s v="CUST142"/>
    <x v="0"/>
    <n v="35"/>
    <x v="0"/>
    <x v="2"/>
    <n v="4"/>
    <n v="300"/>
    <n v="1200"/>
    <n v="18"/>
  </r>
  <r>
    <n v="143"/>
    <n v="2023"/>
    <n v="7"/>
    <n v="17"/>
    <m/>
    <d v="2023-07-17T00:00:00"/>
    <s v="CUST143"/>
    <x v="1"/>
    <n v="45"/>
    <x v="0"/>
    <x v="1"/>
    <n v="1"/>
    <n v="50"/>
    <n v="50"/>
    <n v="0.75"/>
  </r>
  <r>
    <n v="144"/>
    <n v="2023"/>
    <n v="7"/>
    <n v="15"/>
    <m/>
    <d v="2023-07-15T00:00:00"/>
    <s v="CUST144"/>
    <x v="1"/>
    <n v="59"/>
    <x v="2"/>
    <x v="0"/>
    <n v="3"/>
    <n v="500"/>
    <n v="1500"/>
    <n v="22.5"/>
  </r>
  <r>
    <n v="145"/>
    <n v="2023"/>
    <n v="11"/>
    <n v="2"/>
    <m/>
    <d v="2023-11-02T00:00:00"/>
    <s v="CUST145"/>
    <x v="1"/>
    <n v="39"/>
    <x v="0"/>
    <x v="1"/>
    <n v="3"/>
    <n v="25"/>
    <n v="75"/>
    <n v="1.125"/>
  </r>
  <r>
    <n v="146"/>
    <n v="2023"/>
    <n v="8"/>
    <n v="28"/>
    <m/>
    <d v="2023-08-28T00:00:00"/>
    <s v="CUST146"/>
    <x v="0"/>
    <n v="38"/>
    <x v="0"/>
    <x v="1"/>
    <n v="4"/>
    <n v="50"/>
    <n v="200"/>
    <n v="3"/>
  </r>
  <r>
    <n v="147"/>
    <n v="2023"/>
    <n v="9"/>
    <n v="28"/>
    <m/>
    <d v="2023-09-28T00:00:00"/>
    <s v="CUST147"/>
    <x v="0"/>
    <n v="23"/>
    <x v="1"/>
    <x v="2"/>
    <n v="1"/>
    <n v="300"/>
    <n v="300"/>
    <n v="4.5"/>
  </r>
  <r>
    <n v="148"/>
    <n v="2023"/>
    <n v="5"/>
    <n v="9"/>
    <m/>
    <d v="2023-05-09T00:00:00"/>
    <s v="CUST148"/>
    <x v="0"/>
    <n v="18"/>
    <x v="1"/>
    <x v="1"/>
    <n v="2"/>
    <n v="30"/>
    <n v="60"/>
    <n v="0.89999999999999991"/>
  </r>
  <r>
    <n v="149"/>
    <n v="2023"/>
    <n v="10"/>
    <n v="11"/>
    <m/>
    <d v="2023-10-11T00:00:00"/>
    <s v="CUST149"/>
    <x v="0"/>
    <n v="22"/>
    <x v="1"/>
    <x v="1"/>
    <n v="3"/>
    <n v="25"/>
    <n v="75"/>
    <n v="1.125"/>
  </r>
  <r>
    <n v="150"/>
    <n v="2023"/>
    <n v="1"/>
    <n v="6"/>
    <m/>
    <d v="2023-01-06T00:00:00"/>
    <s v="CUST150"/>
    <x v="1"/>
    <n v="58"/>
    <x v="2"/>
    <x v="2"/>
    <n v="4"/>
    <n v="30"/>
    <n v="120"/>
    <n v="1.7999999999999998"/>
  </r>
  <r>
    <n v="151"/>
    <n v="2023"/>
    <n v="12"/>
    <n v="15"/>
    <m/>
    <d v="2023-12-15T00:00:00"/>
    <s v="CUST151"/>
    <x v="0"/>
    <n v="29"/>
    <x v="1"/>
    <x v="1"/>
    <n v="1"/>
    <n v="50"/>
    <n v="50"/>
    <n v="0.75"/>
  </r>
  <r>
    <n v="152"/>
    <n v="2023"/>
    <n v="2"/>
    <n v="28"/>
    <m/>
    <d v="2023-02-28T00:00:00"/>
    <s v="CUST152"/>
    <x v="0"/>
    <n v="43"/>
    <x v="0"/>
    <x v="2"/>
    <n v="4"/>
    <n v="500"/>
    <n v="2000"/>
    <n v="30"/>
  </r>
  <r>
    <n v="153"/>
    <n v="2023"/>
    <n v="12"/>
    <n v="16"/>
    <m/>
    <d v="2023-12-16T00:00:00"/>
    <s v="CUST153"/>
    <x v="0"/>
    <n v="63"/>
    <x v="2"/>
    <x v="2"/>
    <n v="2"/>
    <n v="500"/>
    <n v="1000"/>
    <n v="15"/>
  </r>
  <r>
    <n v="154"/>
    <n v="2023"/>
    <n v="10"/>
    <n v="2"/>
    <m/>
    <d v="2023-10-02T00:00:00"/>
    <s v="CUST154"/>
    <x v="0"/>
    <n v="51"/>
    <x v="2"/>
    <x v="2"/>
    <n v="3"/>
    <n v="300"/>
    <n v="900"/>
    <n v="13.5"/>
  </r>
  <r>
    <n v="155"/>
    <n v="2023"/>
    <n v="5"/>
    <n v="17"/>
    <m/>
    <d v="2023-05-17T00:00:00"/>
    <s v="CUST155"/>
    <x v="0"/>
    <n v="31"/>
    <x v="0"/>
    <x v="2"/>
    <n v="4"/>
    <n v="500"/>
    <n v="2000"/>
    <n v="30"/>
  </r>
  <r>
    <n v="156"/>
    <n v="2023"/>
    <n v="11"/>
    <n v="25"/>
    <m/>
    <d v="2023-11-25T00:00:00"/>
    <s v="CUST156"/>
    <x v="1"/>
    <n v="43"/>
    <x v="0"/>
    <x v="1"/>
    <n v="4"/>
    <n v="25"/>
    <n v="100"/>
    <n v="1.5"/>
  </r>
  <r>
    <n v="157"/>
    <n v="2023"/>
    <n v="6"/>
    <n v="24"/>
    <m/>
    <d v="2023-06-24T00:00:00"/>
    <s v="CUST157"/>
    <x v="0"/>
    <n v="62"/>
    <x v="2"/>
    <x v="2"/>
    <n v="4"/>
    <n v="500"/>
    <n v="2000"/>
    <n v="30"/>
  </r>
  <r>
    <n v="158"/>
    <n v="2023"/>
    <n v="2"/>
    <n v="27"/>
    <m/>
    <d v="2023-02-27T00:00:00"/>
    <s v="CUST158"/>
    <x v="1"/>
    <n v="44"/>
    <x v="0"/>
    <x v="2"/>
    <n v="2"/>
    <n v="300"/>
    <n v="600"/>
    <n v="9"/>
  </r>
  <r>
    <n v="159"/>
    <n v="2023"/>
    <n v="5"/>
    <n v="31"/>
    <m/>
    <d v="2023-05-31T00:00:00"/>
    <s v="CUST159"/>
    <x v="0"/>
    <n v="26"/>
    <x v="1"/>
    <x v="1"/>
    <n v="4"/>
    <n v="50"/>
    <n v="200"/>
    <n v="3"/>
  </r>
  <r>
    <n v="160"/>
    <n v="2023"/>
    <n v="8"/>
    <n v="11"/>
    <m/>
    <d v="2023-08-11T00:00:00"/>
    <s v="CUST160"/>
    <x v="1"/>
    <n v="43"/>
    <x v="0"/>
    <x v="1"/>
    <n v="2"/>
    <n v="50"/>
    <n v="100"/>
    <n v="1.5"/>
  </r>
  <r>
    <n v="161"/>
    <n v="2023"/>
    <n v="3"/>
    <n v="22"/>
    <m/>
    <d v="2023-03-22T00:00:00"/>
    <s v="CUST161"/>
    <x v="0"/>
    <n v="64"/>
    <x v="2"/>
    <x v="0"/>
    <n v="2"/>
    <n v="500"/>
    <n v="1000"/>
    <n v="15"/>
  </r>
  <r>
    <n v="162"/>
    <n v="2023"/>
    <n v="8"/>
    <n v="21"/>
    <m/>
    <d v="2023-08-21T00:00:00"/>
    <s v="CUST162"/>
    <x v="0"/>
    <n v="39"/>
    <x v="0"/>
    <x v="1"/>
    <n v="2"/>
    <n v="30"/>
    <n v="60"/>
    <n v="0.89999999999999991"/>
  </r>
  <r>
    <n v="163"/>
    <n v="2023"/>
    <n v="1"/>
    <n v="2"/>
    <m/>
    <d v="2023-01-02T00:00:00"/>
    <s v="CUST163"/>
    <x v="1"/>
    <n v="64"/>
    <x v="2"/>
    <x v="1"/>
    <n v="3"/>
    <n v="50"/>
    <n v="150"/>
    <n v="2.25"/>
  </r>
  <r>
    <n v="164"/>
    <n v="2023"/>
    <n v="5"/>
    <n v="15"/>
    <m/>
    <d v="2023-05-15T00:00:00"/>
    <s v="CUST164"/>
    <x v="1"/>
    <n v="47"/>
    <x v="0"/>
    <x v="0"/>
    <n v="3"/>
    <n v="500"/>
    <n v="1500"/>
    <n v="22.5"/>
  </r>
  <r>
    <n v="165"/>
    <n v="2023"/>
    <n v="9"/>
    <n v="14"/>
    <m/>
    <d v="2023-09-14T00:00:00"/>
    <s v="CUST165"/>
    <x v="1"/>
    <n v="60"/>
    <x v="2"/>
    <x v="1"/>
    <n v="4"/>
    <n v="300"/>
    <n v="1200"/>
    <n v="18"/>
  </r>
  <r>
    <n v="166"/>
    <n v="2023"/>
    <n v="4"/>
    <n v="2"/>
    <m/>
    <d v="2023-04-02T00:00:00"/>
    <s v="CUST166"/>
    <x v="0"/>
    <n v="34"/>
    <x v="0"/>
    <x v="1"/>
    <n v="4"/>
    <n v="500"/>
    <n v="2000"/>
    <n v="30"/>
  </r>
  <r>
    <n v="167"/>
    <n v="2023"/>
    <n v="9"/>
    <n v="17"/>
    <m/>
    <d v="2023-09-17T00:00:00"/>
    <s v="CUST167"/>
    <x v="1"/>
    <n v="43"/>
    <x v="0"/>
    <x v="1"/>
    <n v="3"/>
    <n v="50"/>
    <n v="150"/>
    <n v="2.25"/>
  </r>
  <r>
    <n v="168"/>
    <n v="2023"/>
    <n v="2"/>
    <n v="24"/>
    <m/>
    <d v="2023-02-24T00:00:00"/>
    <s v="CUST168"/>
    <x v="0"/>
    <n v="53"/>
    <x v="2"/>
    <x v="1"/>
    <n v="1"/>
    <n v="300"/>
    <n v="300"/>
    <n v="4.5"/>
  </r>
  <r>
    <n v="169"/>
    <n v="2023"/>
    <n v="11"/>
    <n v="17"/>
    <m/>
    <d v="2023-11-17T00:00:00"/>
    <s v="CUST169"/>
    <x v="0"/>
    <n v="18"/>
    <x v="1"/>
    <x v="0"/>
    <n v="3"/>
    <n v="500"/>
    <n v="1500"/>
    <n v="22.5"/>
  </r>
  <r>
    <n v="170"/>
    <n v="2023"/>
    <n v="6"/>
    <n v="2"/>
    <m/>
    <d v="2023-06-02T00:00:00"/>
    <s v="CUST170"/>
    <x v="1"/>
    <n v="25"/>
    <x v="1"/>
    <x v="1"/>
    <n v="2"/>
    <n v="25"/>
    <n v="50"/>
    <n v="0.75"/>
  </r>
  <r>
    <n v="171"/>
    <n v="2023"/>
    <n v="11"/>
    <n v="24"/>
    <m/>
    <d v="2023-11-24T00:00:00"/>
    <s v="CUST171"/>
    <x v="1"/>
    <n v="52"/>
    <x v="2"/>
    <x v="1"/>
    <n v="3"/>
    <n v="300"/>
    <n v="900"/>
    <n v="13.5"/>
  </r>
  <r>
    <n v="172"/>
    <n v="2023"/>
    <n v="9"/>
    <n v="17"/>
    <m/>
    <d v="2023-09-17T00:00:00"/>
    <s v="CUST172"/>
    <x v="0"/>
    <n v="32"/>
    <x v="0"/>
    <x v="0"/>
    <n v="2"/>
    <n v="25"/>
    <n v="50"/>
    <n v="0.75"/>
  </r>
  <r>
    <n v="173"/>
    <n v="2023"/>
    <n v="11"/>
    <n v="8"/>
    <m/>
    <d v="2023-11-08T00:00:00"/>
    <s v="CUST173"/>
    <x v="0"/>
    <n v="64"/>
    <x v="2"/>
    <x v="2"/>
    <n v="4"/>
    <n v="30"/>
    <n v="120"/>
    <n v="1.7999999999999998"/>
  </r>
  <r>
    <n v="174"/>
    <n v="2023"/>
    <n v="4"/>
    <n v="12"/>
    <m/>
    <d v="2023-04-12T00:00:00"/>
    <s v="CUST174"/>
    <x v="1"/>
    <n v="39"/>
    <x v="0"/>
    <x v="0"/>
    <n v="1"/>
    <n v="300"/>
    <n v="300"/>
    <n v="4.5"/>
  </r>
  <r>
    <n v="175"/>
    <n v="2023"/>
    <n v="3"/>
    <n v="20"/>
    <m/>
    <d v="2023-03-20T00:00:00"/>
    <s v="CUST175"/>
    <x v="1"/>
    <n v="31"/>
    <x v="0"/>
    <x v="2"/>
    <n v="4"/>
    <n v="25"/>
    <n v="100"/>
    <n v="1.5"/>
  </r>
  <r>
    <n v="176"/>
    <n v="2023"/>
    <n v="7"/>
    <n v="11"/>
    <m/>
    <d v="2023-07-11T00:00:00"/>
    <s v="CUST176"/>
    <x v="1"/>
    <n v="43"/>
    <x v="0"/>
    <x v="0"/>
    <n v="2"/>
    <n v="50"/>
    <n v="100"/>
    <n v="1.5"/>
  </r>
  <r>
    <n v="177"/>
    <n v="2023"/>
    <n v="3"/>
    <n v="24"/>
    <m/>
    <d v="2023-03-24T00:00:00"/>
    <s v="CUST177"/>
    <x v="0"/>
    <n v="45"/>
    <x v="0"/>
    <x v="0"/>
    <n v="2"/>
    <n v="50"/>
    <n v="100"/>
    <n v="1.5"/>
  </r>
  <r>
    <n v="178"/>
    <n v="2023"/>
    <n v="10"/>
    <n v="4"/>
    <m/>
    <d v="2023-10-04T00:00:00"/>
    <s v="CUST178"/>
    <x v="0"/>
    <n v="40"/>
    <x v="0"/>
    <x v="1"/>
    <n v="2"/>
    <n v="30"/>
    <n v="60"/>
    <n v="0.89999999999999991"/>
  </r>
  <r>
    <n v="179"/>
    <n v="2023"/>
    <n v="9"/>
    <n v="29"/>
    <m/>
    <d v="2023-09-29T00:00:00"/>
    <s v="CUST179"/>
    <x v="0"/>
    <n v="31"/>
    <x v="0"/>
    <x v="2"/>
    <n v="1"/>
    <n v="300"/>
    <n v="300"/>
    <n v="4.5"/>
  </r>
  <r>
    <n v="180"/>
    <n v="2023"/>
    <n v="1"/>
    <n v="1"/>
    <m/>
    <d v="2023-01-01T00:00:00"/>
    <s v="CUST180"/>
    <x v="0"/>
    <n v="41"/>
    <x v="0"/>
    <x v="1"/>
    <n v="3"/>
    <n v="300"/>
    <n v="900"/>
    <n v="13.5"/>
  </r>
  <r>
    <n v="181"/>
    <n v="2023"/>
    <n v="11"/>
    <n v="3"/>
    <m/>
    <d v="2023-11-03T00:00:00"/>
    <s v="CUST181"/>
    <x v="0"/>
    <n v="19"/>
    <x v="1"/>
    <x v="2"/>
    <n v="4"/>
    <n v="300"/>
    <n v="1200"/>
    <n v="18"/>
  </r>
  <r>
    <n v="182"/>
    <n v="2023"/>
    <n v="6"/>
    <n v="15"/>
    <m/>
    <d v="2023-06-15T00:00:00"/>
    <s v="CUST182"/>
    <x v="0"/>
    <n v="62"/>
    <x v="2"/>
    <x v="0"/>
    <n v="4"/>
    <n v="30"/>
    <n v="120"/>
    <n v="1.7999999999999998"/>
  </r>
  <r>
    <n v="183"/>
    <n v="2023"/>
    <n v="9"/>
    <n v="8"/>
    <m/>
    <d v="2023-09-08T00:00:00"/>
    <s v="CUST183"/>
    <x v="1"/>
    <n v="43"/>
    <x v="0"/>
    <x v="0"/>
    <n v="3"/>
    <n v="300"/>
    <n v="900"/>
    <n v="13.5"/>
  </r>
  <r>
    <n v="184"/>
    <n v="2023"/>
    <n v="1"/>
    <n v="10"/>
    <m/>
    <d v="2023-01-10T00:00:00"/>
    <s v="CUST184"/>
    <x v="0"/>
    <n v="31"/>
    <x v="0"/>
    <x v="2"/>
    <n v="4"/>
    <n v="50"/>
    <n v="200"/>
    <n v="3"/>
  </r>
  <r>
    <n v="185"/>
    <n v="2023"/>
    <n v="2"/>
    <n v="27"/>
    <m/>
    <d v="2023-02-27T00:00:00"/>
    <s v="CUST185"/>
    <x v="0"/>
    <n v="24"/>
    <x v="1"/>
    <x v="1"/>
    <n v="1"/>
    <n v="25"/>
    <n v="25"/>
    <n v="0.375"/>
  </r>
  <r>
    <n v="186"/>
    <n v="2023"/>
    <n v="7"/>
    <n v="5"/>
    <m/>
    <d v="2023-07-05T00:00:00"/>
    <s v="CUST186"/>
    <x v="0"/>
    <n v="20"/>
    <x v="1"/>
    <x v="1"/>
    <n v="4"/>
    <n v="50"/>
    <n v="200"/>
    <n v="3"/>
  </r>
  <r>
    <n v="187"/>
    <n v="2023"/>
    <n v="6"/>
    <n v="7"/>
    <m/>
    <d v="2023-06-07T00:00:00"/>
    <s v="CUST187"/>
    <x v="1"/>
    <n v="64"/>
    <x v="2"/>
    <x v="1"/>
    <n v="2"/>
    <n v="50"/>
    <n v="100"/>
    <n v="1.5"/>
  </r>
  <r>
    <n v="188"/>
    <n v="2023"/>
    <n v="5"/>
    <n v="3"/>
    <m/>
    <d v="2023-05-03T00:00:00"/>
    <s v="CUST188"/>
    <x v="0"/>
    <n v="40"/>
    <x v="0"/>
    <x v="1"/>
    <n v="3"/>
    <n v="25"/>
    <n v="75"/>
    <n v="1.125"/>
  </r>
  <r>
    <n v="189"/>
    <n v="2023"/>
    <n v="1"/>
    <n v="30"/>
    <m/>
    <d v="2023-01-30T00:00:00"/>
    <s v="CUST189"/>
    <x v="0"/>
    <n v="63"/>
    <x v="2"/>
    <x v="0"/>
    <n v="1"/>
    <n v="50"/>
    <n v="50"/>
    <n v="0.75"/>
  </r>
  <r>
    <n v="190"/>
    <n v="2023"/>
    <n v="5"/>
    <n v="4"/>
    <m/>
    <d v="2023-05-04T00:00:00"/>
    <s v="CUST190"/>
    <x v="1"/>
    <n v="60"/>
    <x v="2"/>
    <x v="0"/>
    <n v="3"/>
    <n v="30"/>
    <n v="90"/>
    <n v="1.3499999999999999"/>
  </r>
  <r>
    <n v="191"/>
    <n v="2023"/>
    <n v="10"/>
    <n v="18"/>
    <m/>
    <d v="2023-10-18T00:00:00"/>
    <s v="CUST191"/>
    <x v="0"/>
    <n v="64"/>
    <x v="2"/>
    <x v="0"/>
    <n v="1"/>
    <n v="25"/>
    <n v="25"/>
    <n v="0.375"/>
  </r>
  <r>
    <n v="192"/>
    <n v="2023"/>
    <n v="2"/>
    <n v="10"/>
    <m/>
    <d v="2023-02-10T00:00:00"/>
    <s v="CUST192"/>
    <x v="0"/>
    <n v="62"/>
    <x v="2"/>
    <x v="0"/>
    <n v="2"/>
    <n v="50"/>
    <n v="100"/>
    <n v="1.5"/>
  </r>
  <r>
    <n v="193"/>
    <n v="2023"/>
    <n v="2"/>
    <n v="13"/>
    <m/>
    <d v="2023-02-13T00:00:00"/>
    <s v="CUST193"/>
    <x v="0"/>
    <n v="35"/>
    <x v="0"/>
    <x v="0"/>
    <n v="3"/>
    <n v="500"/>
    <n v="1500"/>
    <n v="22.5"/>
  </r>
  <r>
    <n v="194"/>
    <n v="2023"/>
    <n v="9"/>
    <n v="6"/>
    <m/>
    <d v="2023-09-06T00:00:00"/>
    <s v="CUST194"/>
    <x v="0"/>
    <n v="55"/>
    <x v="2"/>
    <x v="1"/>
    <n v="4"/>
    <n v="50"/>
    <n v="200"/>
    <n v="3"/>
  </r>
  <r>
    <n v="195"/>
    <n v="2023"/>
    <n v="2"/>
    <n v="5"/>
    <m/>
    <d v="2023-02-05T00:00:00"/>
    <s v="CUST195"/>
    <x v="0"/>
    <n v="52"/>
    <x v="2"/>
    <x v="1"/>
    <n v="1"/>
    <n v="30"/>
    <n v="30"/>
    <n v="0.44999999999999996"/>
  </r>
  <r>
    <n v="196"/>
    <n v="2023"/>
    <n v="9"/>
    <n v="30"/>
    <m/>
    <d v="2023-09-30T00:00:00"/>
    <s v="CUST196"/>
    <x v="1"/>
    <n v="32"/>
    <x v="0"/>
    <x v="1"/>
    <n v="3"/>
    <n v="300"/>
    <n v="900"/>
    <n v="13.5"/>
  </r>
  <r>
    <n v="197"/>
    <n v="2023"/>
    <n v="3"/>
    <n v="6"/>
    <m/>
    <d v="2023-03-06T00:00:00"/>
    <s v="CUST197"/>
    <x v="1"/>
    <n v="42"/>
    <x v="0"/>
    <x v="1"/>
    <n v="4"/>
    <n v="50"/>
    <n v="200"/>
    <n v="3"/>
  </r>
  <r>
    <n v="198"/>
    <n v="2023"/>
    <n v="3"/>
    <n v="7"/>
    <m/>
    <d v="2023-03-07T00:00:00"/>
    <s v="CUST198"/>
    <x v="1"/>
    <n v="54"/>
    <x v="2"/>
    <x v="0"/>
    <n v="3"/>
    <n v="300"/>
    <n v="900"/>
    <n v="13.5"/>
  </r>
  <r>
    <n v="199"/>
    <n v="2023"/>
    <n v="12"/>
    <n v="4"/>
    <m/>
    <d v="2023-12-04T00:00:00"/>
    <s v="CUST199"/>
    <x v="0"/>
    <n v="45"/>
    <x v="0"/>
    <x v="0"/>
    <n v="3"/>
    <n v="500"/>
    <n v="1500"/>
    <n v="22.5"/>
  </r>
  <r>
    <n v="200"/>
    <n v="2023"/>
    <n v="9"/>
    <n v="1"/>
    <m/>
    <d v="2023-09-01T00:00:00"/>
    <s v="CUST200"/>
    <x v="0"/>
    <n v="27"/>
    <x v="1"/>
    <x v="0"/>
    <n v="3"/>
    <n v="50"/>
    <n v="150"/>
    <n v="2.25"/>
  </r>
  <r>
    <n v="201"/>
    <n v="2023"/>
    <n v="10"/>
    <n v="9"/>
    <m/>
    <d v="2023-10-09T00:00:00"/>
    <s v="CUST201"/>
    <x v="0"/>
    <n v="56"/>
    <x v="2"/>
    <x v="2"/>
    <n v="1"/>
    <n v="25"/>
    <n v="25"/>
    <n v="0.375"/>
  </r>
  <r>
    <n v="202"/>
    <n v="2023"/>
    <n v="3"/>
    <n v="26"/>
    <m/>
    <d v="2023-03-26T00:00:00"/>
    <s v="CUST202"/>
    <x v="1"/>
    <n v="34"/>
    <x v="0"/>
    <x v="1"/>
    <n v="4"/>
    <n v="300"/>
    <n v="1200"/>
    <n v="18"/>
  </r>
  <r>
    <n v="203"/>
    <n v="2023"/>
    <n v="5"/>
    <n v="16"/>
    <m/>
    <d v="2023-05-16T00:00:00"/>
    <s v="CUST203"/>
    <x v="0"/>
    <n v="56"/>
    <x v="2"/>
    <x v="1"/>
    <n v="2"/>
    <n v="500"/>
    <n v="1000"/>
    <n v="15"/>
  </r>
  <r>
    <n v="204"/>
    <n v="2023"/>
    <n v="9"/>
    <n v="28"/>
    <m/>
    <d v="2023-09-28T00:00:00"/>
    <s v="CUST204"/>
    <x v="0"/>
    <n v="39"/>
    <x v="0"/>
    <x v="0"/>
    <n v="1"/>
    <n v="25"/>
    <n v="25"/>
    <n v="0.375"/>
  </r>
  <r>
    <n v="205"/>
    <n v="2023"/>
    <n v="11"/>
    <n v="7"/>
    <m/>
    <d v="2023-11-07T00:00:00"/>
    <s v="CUST205"/>
    <x v="1"/>
    <n v="43"/>
    <x v="0"/>
    <x v="1"/>
    <n v="1"/>
    <n v="25"/>
    <n v="25"/>
    <n v="0.375"/>
  </r>
  <r>
    <n v="206"/>
    <n v="2023"/>
    <n v="8"/>
    <n v="5"/>
    <m/>
    <d v="2023-08-05T00:00:00"/>
    <s v="CUST206"/>
    <x v="0"/>
    <n v="61"/>
    <x v="2"/>
    <x v="1"/>
    <n v="1"/>
    <n v="25"/>
    <n v="25"/>
    <n v="0.375"/>
  </r>
  <r>
    <n v="207"/>
    <n v="2023"/>
    <n v="4"/>
    <n v="19"/>
    <m/>
    <d v="2023-04-19T00:00:00"/>
    <s v="CUST207"/>
    <x v="1"/>
    <n v="42"/>
    <x v="0"/>
    <x v="0"/>
    <n v="2"/>
    <n v="25"/>
    <n v="50"/>
    <n v="0.75"/>
  </r>
  <r>
    <n v="208"/>
    <n v="2023"/>
    <n v="10"/>
    <n v="4"/>
    <m/>
    <d v="2023-10-04T00:00:00"/>
    <s v="CUST208"/>
    <x v="1"/>
    <n v="34"/>
    <x v="0"/>
    <x v="2"/>
    <n v="4"/>
    <n v="50"/>
    <n v="200"/>
    <n v="3"/>
  </r>
  <r>
    <n v="209"/>
    <n v="2023"/>
    <n v="12"/>
    <n v="20"/>
    <m/>
    <d v="2023-12-20T00:00:00"/>
    <s v="CUST209"/>
    <x v="1"/>
    <n v="30"/>
    <x v="0"/>
    <x v="2"/>
    <n v="4"/>
    <n v="50"/>
    <n v="200"/>
    <n v="3"/>
  </r>
  <r>
    <n v="210"/>
    <n v="2023"/>
    <n v="4"/>
    <n v="13"/>
    <m/>
    <d v="2023-04-13T00:00:00"/>
    <s v="CUST210"/>
    <x v="0"/>
    <n v="37"/>
    <x v="0"/>
    <x v="2"/>
    <n v="4"/>
    <n v="50"/>
    <n v="200"/>
    <n v="3"/>
  </r>
  <r>
    <n v="211"/>
    <n v="2024"/>
    <n v="1"/>
    <n v="1"/>
    <m/>
    <d v="2024-01-01T00:00:00"/>
    <s v="CUST211"/>
    <x v="0"/>
    <n v="42"/>
    <x v="0"/>
    <x v="0"/>
    <n v="3"/>
    <n v="500"/>
    <n v="1500"/>
    <n v="22.5"/>
  </r>
  <r>
    <n v="212"/>
    <n v="2023"/>
    <n v="6"/>
    <n v="9"/>
    <m/>
    <d v="2023-06-09T00:00:00"/>
    <s v="CUST212"/>
    <x v="0"/>
    <n v="21"/>
    <x v="1"/>
    <x v="1"/>
    <n v="3"/>
    <n v="500"/>
    <n v="1500"/>
    <n v="22.5"/>
  </r>
  <r>
    <n v="213"/>
    <n v="2023"/>
    <n v="7"/>
    <n v="24"/>
    <m/>
    <d v="2023-07-24T00:00:00"/>
    <s v="CUST213"/>
    <x v="0"/>
    <n v="27"/>
    <x v="1"/>
    <x v="0"/>
    <n v="3"/>
    <n v="500"/>
    <n v="1500"/>
    <n v="22.5"/>
  </r>
  <r>
    <n v="214"/>
    <n v="2023"/>
    <n v="12"/>
    <n v="10"/>
    <m/>
    <d v="2023-12-10T00:00:00"/>
    <s v="CUST214"/>
    <x v="0"/>
    <n v="20"/>
    <x v="1"/>
    <x v="0"/>
    <n v="2"/>
    <n v="30"/>
    <n v="60"/>
    <n v="0.89999999999999991"/>
  </r>
  <r>
    <n v="215"/>
    <n v="2023"/>
    <n v="11"/>
    <n v="29"/>
    <m/>
    <d v="2023-11-29T00:00:00"/>
    <s v="CUST215"/>
    <x v="0"/>
    <n v="58"/>
    <x v="2"/>
    <x v="1"/>
    <n v="3"/>
    <n v="500"/>
    <n v="1500"/>
    <n v="22.5"/>
  </r>
  <r>
    <n v="216"/>
    <n v="2023"/>
    <n v="7"/>
    <n v="11"/>
    <m/>
    <d v="2023-07-11T00:00:00"/>
    <s v="CUST216"/>
    <x v="0"/>
    <n v="62"/>
    <x v="2"/>
    <x v="2"/>
    <n v="2"/>
    <n v="50"/>
    <n v="100"/>
    <n v="1.5"/>
  </r>
  <r>
    <n v="217"/>
    <n v="2023"/>
    <n v="8"/>
    <n v="13"/>
    <m/>
    <d v="2023-08-13T00:00:00"/>
    <s v="CUST217"/>
    <x v="1"/>
    <n v="35"/>
    <x v="0"/>
    <x v="2"/>
    <n v="4"/>
    <n v="50"/>
    <n v="200"/>
    <n v="3"/>
  </r>
  <r>
    <n v="218"/>
    <n v="2023"/>
    <n v="9"/>
    <n v="22"/>
    <m/>
    <d v="2023-09-22T00:00:00"/>
    <s v="CUST218"/>
    <x v="0"/>
    <n v="64"/>
    <x v="2"/>
    <x v="0"/>
    <n v="3"/>
    <n v="30"/>
    <n v="90"/>
    <n v="1.3499999999999999"/>
  </r>
  <r>
    <n v="219"/>
    <n v="2023"/>
    <n v="8"/>
    <n v="20"/>
    <m/>
    <d v="2023-08-20T00:00:00"/>
    <s v="CUST219"/>
    <x v="1"/>
    <n v="53"/>
    <x v="2"/>
    <x v="2"/>
    <n v="3"/>
    <n v="30"/>
    <n v="90"/>
    <n v="1.3499999999999999"/>
  </r>
  <r>
    <n v="220"/>
    <n v="2023"/>
    <n v="3"/>
    <n v="3"/>
    <m/>
    <d v="2023-03-03T00:00:00"/>
    <s v="CUST220"/>
    <x v="0"/>
    <n v="64"/>
    <x v="2"/>
    <x v="0"/>
    <n v="1"/>
    <n v="500"/>
    <n v="500"/>
    <n v="7.5"/>
  </r>
  <r>
    <n v="221"/>
    <n v="2023"/>
    <n v="5"/>
    <n v="7"/>
    <m/>
    <d v="2023-05-07T00:00:00"/>
    <s v="CUST221"/>
    <x v="0"/>
    <n v="39"/>
    <x v="0"/>
    <x v="0"/>
    <n v="2"/>
    <n v="300"/>
    <n v="600"/>
    <n v="9"/>
  </r>
  <r>
    <n v="222"/>
    <n v="2023"/>
    <n v="4"/>
    <n v="26"/>
    <m/>
    <d v="2023-04-26T00:00:00"/>
    <s v="CUST222"/>
    <x v="0"/>
    <n v="51"/>
    <x v="2"/>
    <x v="1"/>
    <n v="4"/>
    <n v="30"/>
    <n v="120"/>
    <n v="1.7999999999999998"/>
  </r>
  <r>
    <n v="223"/>
    <n v="2023"/>
    <n v="2"/>
    <n v="2"/>
    <m/>
    <d v="2023-02-02T00:00:00"/>
    <s v="CUST223"/>
    <x v="1"/>
    <n v="64"/>
    <x v="2"/>
    <x v="1"/>
    <n v="1"/>
    <n v="25"/>
    <n v="25"/>
    <n v="0.375"/>
  </r>
  <r>
    <n v="224"/>
    <n v="2023"/>
    <n v="6"/>
    <n v="23"/>
    <m/>
    <d v="2023-06-23T00:00:00"/>
    <s v="CUST224"/>
    <x v="1"/>
    <n v="25"/>
    <x v="1"/>
    <x v="1"/>
    <n v="1"/>
    <n v="50"/>
    <n v="50"/>
    <n v="0.75"/>
  </r>
  <r>
    <n v="225"/>
    <n v="2023"/>
    <n v="1"/>
    <n v="11"/>
    <m/>
    <d v="2023-01-11T00:00:00"/>
    <s v="CUST225"/>
    <x v="1"/>
    <n v="57"/>
    <x v="2"/>
    <x v="0"/>
    <n v="4"/>
    <n v="25"/>
    <n v="100"/>
    <n v="1.5"/>
  </r>
  <r>
    <n v="226"/>
    <n v="2023"/>
    <n v="10"/>
    <n v="29"/>
    <m/>
    <d v="2023-10-29T00:00:00"/>
    <s v="CUST226"/>
    <x v="1"/>
    <n v="61"/>
    <x v="2"/>
    <x v="1"/>
    <n v="1"/>
    <n v="50"/>
    <n v="50"/>
    <n v="0.75"/>
  </r>
  <r>
    <n v="227"/>
    <n v="2023"/>
    <n v="10"/>
    <n v="11"/>
    <m/>
    <d v="2023-10-11T00:00:00"/>
    <s v="CUST227"/>
    <x v="0"/>
    <n v="36"/>
    <x v="0"/>
    <x v="2"/>
    <n v="2"/>
    <n v="50"/>
    <n v="100"/>
    <n v="1.5"/>
  </r>
  <r>
    <n v="228"/>
    <n v="2023"/>
    <n v="4"/>
    <n v="28"/>
    <m/>
    <d v="2023-04-28T00:00:00"/>
    <s v="CUST228"/>
    <x v="1"/>
    <n v="59"/>
    <x v="2"/>
    <x v="2"/>
    <n v="2"/>
    <n v="30"/>
    <n v="60"/>
    <n v="0.89999999999999991"/>
  </r>
  <r>
    <n v="229"/>
    <n v="2023"/>
    <n v="10"/>
    <n v="29"/>
    <m/>
    <d v="2023-10-29T00:00:00"/>
    <s v="CUST229"/>
    <x v="0"/>
    <n v="58"/>
    <x v="2"/>
    <x v="0"/>
    <n v="3"/>
    <n v="30"/>
    <n v="90"/>
    <n v="1.3499999999999999"/>
  </r>
  <r>
    <n v="230"/>
    <n v="2023"/>
    <n v="4"/>
    <n v="23"/>
    <m/>
    <d v="2023-04-23T00:00:00"/>
    <s v="CUST230"/>
    <x v="0"/>
    <n v="54"/>
    <x v="2"/>
    <x v="0"/>
    <n v="1"/>
    <n v="25"/>
    <n v="25"/>
    <n v="0.375"/>
  </r>
  <r>
    <n v="231"/>
    <n v="2023"/>
    <n v="1"/>
    <n v="4"/>
    <m/>
    <d v="2023-01-04T00:00:00"/>
    <s v="CUST231"/>
    <x v="1"/>
    <n v="23"/>
    <x v="1"/>
    <x v="1"/>
    <n v="3"/>
    <n v="50"/>
    <n v="150"/>
    <n v="2.25"/>
  </r>
  <r>
    <n v="232"/>
    <n v="2023"/>
    <n v="2"/>
    <n v="6"/>
    <m/>
    <d v="2023-02-06T00:00:00"/>
    <s v="CUST232"/>
    <x v="1"/>
    <n v="43"/>
    <x v="0"/>
    <x v="0"/>
    <n v="1"/>
    <n v="25"/>
    <n v="25"/>
    <n v="0.375"/>
  </r>
  <r>
    <n v="233"/>
    <n v="2023"/>
    <n v="12"/>
    <n v="29"/>
    <m/>
    <d v="2023-12-29T00:00:00"/>
    <s v="CUST233"/>
    <x v="1"/>
    <n v="51"/>
    <x v="2"/>
    <x v="0"/>
    <n v="2"/>
    <n v="300"/>
    <n v="600"/>
    <n v="9"/>
  </r>
  <r>
    <n v="234"/>
    <n v="2023"/>
    <n v="11"/>
    <n v="20"/>
    <m/>
    <d v="2023-11-20T00:00:00"/>
    <s v="CUST234"/>
    <x v="1"/>
    <n v="62"/>
    <x v="2"/>
    <x v="2"/>
    <n v="2"/>
    <n v="25"/>
    <n v="50"/>
    <n v="0.75"/>
  </r>
  <r>
    <n v="235"/>
    <n v="2023"/>
    <n v="1"/>
    <n v="31"/>
    <m/>
    <d v="2023-01-31T00:00:00"/>
    <s v="CUST235"/>
    <x v="1"/>
    <n v="23"/>
    <x v="1"/>
    <x v="2"/>
    <n v="2"/>
    <n v="500"/>
    <n v="1000"/>
    <n v="15"/>
  </r>
  <r>
    <n v="236"/>
    <n v="2023"/>
    <n v="4"/>
    <n v="28"/>
    <m/>
    <d v="2023-04-28T00:00:00"/>
    <s v="CUST236"/>
    <x v="1"/>
    <n v="54"/>
    <x v="2"/>
    <x v="1"/>
    <n v="1"/>
    <n v="25"/>
    <n v="25"/>
    <n v="0.375"/>
  </r>
  <r>
    <n v="237"/>
    <n v="2023"/>
    <n v="2"/>
    <n v="4"/>
    <m/>
    <d v="2023-02-04T00:00:00"/>
    <s v="CUST237"/>
    <x v="1"/>
    <n v="50"/>
    <x v="2"/>
    <x v="0"/>
    <n v="2"/>
    <n v="500"/>
    <n v="1000"/>
    <n v="15"/>
  </r>
  <r>
    <n v="238"/>
    <n v="2023"/>
    <n v="1"/>
    <n v="17"/>
    <m/>
    <d v="2023-01-17T00:00:00"/>
    <s v="CUST238"/>
    <x v="1"/>
    <n v="39"/>
    <x v="0"/>
    <x v="0"/>
    <n v="1"/>
    <n v="500"/>
    <n v="500"/>
    <n v="7.5"/>
  </r>
  <r>
    <n v="239"/>
    <n v="2023"/>
    <n v="6"/>
    <n v="19"/>
    <m/>
    <d v="2023-06-19T00:00:00"/>
    <s v="CUST239"/>
    <x v="0"/>
    <n v="38"/>
    <x v="0"/>
    <x v="2"/>
    <n v="3"/>
    <n v="500"/>
    <n v="1500"/>
    <n v="22.5"/>
  </r>
  <r>
    <n v="240"/>
    <n v="2023"/>
    <n v="2"/>
    <n v="6"/>
    <m/>
    <d v="2023-02-06T00:00:00"/>
    <s v="CUST240"/>
    <x v="1"/>
    <n v="23"/>
    <x v="1"/>
    <x v="0"/>
    <n v="1"/>
    <n v="300"/>
    <n v="300"/>
    <n v="4.5"/>
  </r>
  <r>
    <n v="241"/>
    <n v="2023"/>
    <n v="9"/>
    <n v="21"/>
    <m/>
    <d v="2023-09-21T00:00:00"/>
    <s v="CUST241"/>
    <x v="1"/>
    <n v="23"/>
    <x v="1"/>
    <x v="2"/>
    <n v="3"/>
    <n v="25"/>
    <n v="75"/>
    <n v="1.125"/>
  </r>
  <r>
    <n v="242"/>
    <n v="2023"/>
    <n v="5"/>
    <n v="2"/>
    <m/>
    <d v="2023-05-02T00:00:00"/>
    <s v="CUST242"/>
    <x v="0"/>
    <n v="21"/>
    <x v="1"/>
    <x v="1"/>
    <n v="1"/>
    <n v="25"/>
    <n v="25"/>
    <n v="0.375"/>
  </r>
  <r>
    <n v="243"/>
    <n v="2023"/>
    <n v="5"/>
    <n v="23"/>
    <m/>
    <d v="2023-05-23T00:00:00"/>
    <s v="CUST243"/>
    <x v="1"/>
    <n v="47"/>
    <x v="0"/>
    <x v="2"/>
    <n v="3"/>
    <n v="300"/>
    <n v="900"/>
    <n v="13.5"/>
  </r>
  <r>
    <n v="244"/>
    <n v="2023"/>
    <n v="12"/>
    <n v="9"/>
    <m/>
    <d v="2023-12-09T00:00:00"/>
    <s v="CUST244"/>
    <x v="0"/>
    <n v="28"/>
    <x v="1"/>
    <x v="0"/>
    <n v="2"/>
    <n v="50"/>
    <n v="100"/>
    <n v="1.5"/>
  </r>
  <r>
    <n v="245"/>
    <n v="2023"/>
    <n v="9"/>
    <n v="6"/>
    <m/>
    <d v="2023-09-06T00:00:00"/>
    <s v="CUST245"/>
    <x v="0"/>
    <n v="47"/>
    <x v="0"/>
    <x v="1"/>
    <n v="3"/>
    <n v="30"/>
    <n v="90"/>
    <n v="1.3499999999999999"/>
  </r>
  <r>
    <n v="246"/>
    <n v="2023"/>
    <n v="4"/>
    <n v="20"/>
    <m/>
    <d v="2023-04-20T00:00:00"/>
    <s v="CUST246"/>
    <x v="1"/>
    <n v="48"/>
    <x v="0"/>
    <x v="2"/>
    <n v="2"/>
    <n v="25"/>
    <n v="50"/>
    <n v="0.75"/>
  </r>
  <r>
    <n v="247"/>
    <n v="2023"/>
    <n v="10"/>
    <n v="4"/>
    <m/>
    <d v="2023-10-04T00:00:00"/>
    <s v="CUST247"/>
    <x v="0"/>
    <n v="41"/>
    <x v="0"/>
    <x v="2"/>
    <n v="2"/>
    <n v="30"/>
    <n v="60"/>
    <n v="0.89999999999999991"/>
  </r>
  <r>
    <n v="248"/>
    <n v="2023"/>
    <n v="3"/>
    <n v="9"/>
    <m/>
    <d v="2023-03-09T00:00:00"/>
    <s v="CUST248"/>
    <x v="0"/>
    <n v="26"/>
    <x v="1"/>
    <x v="1"/>
    <n v="3"/>
    <n v="300"/>
    <n v="900"/>
    <n v="13.5"/>
  </r>
  <r>
    <n v="249"/>
    <n v="2023"/>
    <n v="10"/>
    <n v="20"/>
    <m/>
    <d v="2023-10-20T00:00:00"/>
    <s v="CUST249"/>
    <x v="0"/>
    <n v="20"/>
    <x v="1"/>
    <x v="1"/>
    <n v="1"/>
    <n v="50"/>
    <n v="50"/>
    <n v="0.75"/>
  </r>
  <r>
    <n v="250"/>
    <n v="2023"/>
    <n v="10"/>
    <n v="23"/>
    <m/>
    <d v="2023-10-23T00:00:00"/>
    <s v="CUST250"/>
    <x v="0"/>
    <n v="48"/>
    <x v="0"/>
    <x v="2"/>
    <n v="1"/>
    <n v="50"/>
    <n v="50"/>
    <n v="0.75"/>
  </r>
  <r>
    <n v="251"/>
    <n v="2023"/>
    <n v="8"/>
    <n v="31"/>
    <m/>
    <d v="2023-08-31T00:00:00"/>
    <s v="CUST251"/>
    <x v="1"/>
    <n v="57"/>
    <x v="2"/>
    <x v="0"/>
    <n v="4"/>
    <n v="50"/>
    <n v="200"/>
    <n v="3"/>
  </r>
  <r>
    <n v="252"/>
    <n v="2023"/>
    <n v="5"/>
    <n v="5"/>
    <m/>
    <d v="2023-05-05T00:00:00"/>
    <s v="CUST252"/>
    <x v="0"/>
    <n v="54"/>
    <x v="2"/>
    <x v="2"/>
    <n v="1"/>
    <n v="300"/>
    <n v="300"/>
    <n v="4.5"/>
  </r>
  <r>
    <n v="253"/>
    <n v="2023"/>
    <n v="8"/>
    <n v="31"/>
    <m/>
    <d v="2023-08-31T00:00:00"/>
    <s v="CUST253"/>
    <x v="1"/>
    <n v="53"/>
    <x v="2"/>
    <x v="1"/>
    <n v="4"/>
    <n v="500"/>
    <n v="2000"/>
    <n v="30"/>
  </r>
  <r>
    <n v="254"/>
    <n v="2023"/>
    <n v="7"/>
    <n v="28"/>
    <m/>
    <d v="2023-07-28T00:00:00"/>
    <s v="CUST254"/>
    <x v="0"/>
    <n v="41"/>
    <x v="0"/>
    <x v="2"/>
    <n v="1"/>
    <n v="500"/>
    <n v="500"/>
    <n v="7.5"/>
  </r>
  <r>
    <n v="255"/>
    <n v="2023"/>
    <n v="4"/>
    <n v="8"/>
    <m/>
    <d v="2023-04-08T00:00:00"/>
    <s v="CUST255"/>
    <x v="0"/>
    <n v="48"/>
    <x v="0"/>
    <x v="1"/>
    <n v="1"/>
    <n v="30"/>
    <n v="30"/>
    <n v="0.44999999999999996"/>
  </r>
  <r>
    <n v="256"/>
    <n v="2023"/>
    <n v="2"/>
    <n v="18"/>
    <m/>
    <d v="2023-02-18T00:00:00"/>
    <s v="CUST256"/>
    <x v="0"/>
    <n v="23"/>
    <x v="1"/>
    <x v="1"/>
    <n v="2"/>
    <n v="500"/>
    <n v="1000"/>
    <n v="15"/>
  </r>
  <r>
    <n v="257"/>
    <n v="2023"/>
    <n v="2"/>
    <n v="19"/>
    <m/>
    <d v="2023-02-19T00:00:00"/>
    <s v="CUST257"/>
    <x v="0"/>
    <n v="19"/>
    <x v="1"/>
    <x v="0"/>
    <n v="4"/>
    <n v="500"/>
    <n v="2000"/>
    <n v="30"/>
  </r>
  <r>
    <n v="258"/>
    <n v="2023"/>
    <n v="12"/>
    <n v="4"/>
    <m/>
    <d v="2023-12-04T00:00:00"/>
    <s v="CUST258"/>
    <x v="1"/>
    <n v="37"/>
    <x v="0"/>
    <x v="1"/>
    <n v="1"/>
    <n v="50"/>
    <n v="50"/>
    <n v="0.75"/>
  </r>
  <r>
    <n v="259"/>
    <n v="2023"/>
    <n v="8"/>
    <n v="9"/>
    <m/>
    <d v="2023-08-09T00:00:00"/>
    <s v="CUST259"/>
    <x v="1"/>
    <n v="45"/>
    <x v="0"/>
    <x v="1"/>
    <n v="4"/>
    <n v="50"/>
    <n v="200"/>
    <n v="3"/>
  </r>
  <r>
    <n v="260"/>
    <n v="2023"/>
    <n v="7"/>
    <n v="1"/>
    <m/>
    <d v="2023-07-01T00:00:00"/>
    <s v="CUST260"/>
    <x v="0"/>
    <n v="28"/>
    <x v="1"/>
    <x v="0"/>
    <n v="2"/>
    <n v="30"/>
    <n v="60"/>
    <n v="0.89999999999999991"/>
  </r>
  <r>
    <n v="261"/>
    <n v="2023"/>
    <n v="8"/>
    <n v="5"/>
    <m/>
    <d v="2023-08-05T00:00:00"/>
    <s v="CUST261"/>
    <x v="0"/>
    <n v="21"/>
    <x v="1"/>
    <x v="1"/>
    <n v="2"/>
    <n v="25"/>
    <n v="50"/>
    <n v="0.75"/>
  </r>
  <r>
    <n v="262"/>
    <n v="2023"/>
    <n v="7"/>
    <n v="30"/>
    <m/>
    <d v="2023-07-30T00:00:00"/>
    <s v="CUST262"/>
    <x v="1"/>
    <n v="32"/>
    <x v="0"/>
    <x v="0"/>
    <n v="4"/>
    <n v="30"/>
    <n v="120"/>
    <n v="1.7999999999999998"/>
  </r>
  <r>
    <n v="263"/>
    <n v="2023"/>
    <n v="8"/>
    <n v="28"/>
    <m/>
    <d v="2023-08-28T00:00:00"/>
    <s v="CUST263"/>
    <x v="0"/>
    <n v="23"/>
    <x v="1"/>
    <x v="0"/>
    <n v="2"/>
    <n v="30"/>
    <n v="60"/>
    <n v="0.89999999999999991"/>
  </r>
  <r>
    <n v="264"/>
    <n v="2023"/>
    <n v="1"/>
    <n v="28"/>
    <m/>
    <d v="2023-01-28T00:00:00"/>
    <s v="CUST264"/>
    <x v="0"/>
    <n v="47"/>
    <x v="0"/>
    <x v="1"/>
    <n v="3"/>
    <n v="300"/>
    <n v="900"/>
    <n v="13.5"/>
  </r>
  <r>
    <n v="265"/>
    <n v="2023"/>
    <n v="12"/>
    <n v="11"/>
    <m/>
    <d v="2023-12-11T00:00:00"/>
    <s v="CUST265"/>
    <x v="0"/>
    <n v="55"/>
    <x v="2"/>
    <x v="1"/>
    <n v="3"/>
    <n v="300"/>
    <n v="900"/>
    <n v="13.5"/>
  </r>
  <r>
    <n v="266"/>
    <n v="2023"/>
    <n v="12"/>
    <n v="1"/>
    <m/>
    <d v="2023-12-01T00:00:00"/>
    <s v="CUST266"/>
    <x v="1"/>
    <n v="19"/>
    <x v="1"/>
    <x v="2"/>
    <n v="2"/>
    <n v="30"/>
    <n v="60"/>
    <n v="0.89999999999999991"/>
  </r>
  <r>
    <n v="267"/>
    <n v="2023"/>
    <n v="11"/>
    <n v="27"/>
    <m/>
    <d v="2023-11-27T00:00:00"/>
    <s v="CUST267"/>
    <x v="1"/>
    <n v="32"/>
    <x v="0"/>
    <x v="0"/>
    <n v="3"/>
    <n v="30"/>
    <n v="90"/>
    <n v="1.3499999999999999"/>
  </r>
  <r>
    <n v="268"/>
    <n v="2023"/>
    <n v="2"/>
    <n v="20"/>
    <m/>
    <d v="2023-02-20T00:00:00"/>
    <s v="CUST268"/>
    <x v="1"/>
    <n v="28"/>
    <x v="1"/>
    <x v="2"/>
    <n v="1"/>
    <n v="30"/>
    <n v="30"/>
    <n v="0.44999999999999996"/>
  </r>
  <r>
    <n v="269"/>
    <n v="2023"/>
    <n v="2"/>
    <n v="1"/>
    <m/>
    <d v="2023-02-01T00:00:00"/>
    <s v="CUST269"/>
    <x v="0"/>
    <n v="25"/>
    <x v="1"/>
    <x v="1"/>
    <n v="4"/>
    <n v="500"/>
    <n v="2000"/>
    <n v="30"/>
  </r>
  <r>
    <n v="270"/>
    <n v="2023"/>
    <n v="7"/>
    <n v="26"/>
    <m/>
    <d v="2023-07-26T00:00:00"/>
    <s v="CUST270"/>
    <x v="0"/>
    <n v="43"/>
    <x v="0"/>
    <x v="2"/>
    <n v="1"/>
    <n v="300"/>
    <n v="300"/>
    <n v="4.5"/>
  </r>
  <r>
    <n v="271"/>
    <n v="2023"/>
    <n v="6"/>
    <n v="23"/>
    <m/>
    <d v="2023-06-23T00:00:00"/>
    <s v="CUST271"/>
    <x v="1"/>
    <n v="62"/>
    <x v="2"/>
    <x v="0"/>
    <n v="4"/>
    <n v="30"/>
    <n v="120"/>
    <n v="1.7999999999999998"/>
  </r>
  <r>
    <n v="272"/>
    <n v="2023"/>
    <n v="2"/>
    <n v="25"/>
    <m/>
    <d v="2023-02-25T00:00:00"/>
    <s v="CUST272"/>
    <x v="1"/>
    <n v="61"/>
    <x v="2"/>
    <x v="2"/>
    <n v="2"/>
    <n v="50"/>
    <n v="100"/>
    <n v="1.5"/>
  </r>
  <r>
    <n v="273"/>
    <n v="2023"/>
    <n v="5"/>
    <n v="8"/>
    <m/>
    <d v="2023-05-08T00:00:00"/>
    <s v="CUST273"/>
    <x v="1"/>
    <n v="22"/>
    <x v="1"/>
    <x v="0"/>
    <n v="1"/>
    <n v="50"/>
    <n v="50"/>
    <n v="0.75"/>
  </r>
  <r>
    <n v="274"/>
    <n v="2023"/>
    <n v="4"/>
    <n v="9"/>
    <m/>
    <d v="2023-04-09T00:00:00"/>
    <s v="CUST274"/>
    <x v="1"/>
    <n v="23"/>
    <x v="1"/>
    <x v="1"/>
    <n v="2"/>
    <n v="500"/>
    <n v="1000"/>
    <n v="15"/>
  </r>
  <r>
    <n v="275"/>
    <n v="2023"/>
    <n v="4"/>
    <n v="8"/>
    <m/>
    <d v="2023-04-08T00:00:00"/>
    <s v="CUST275"/>
    <x v="0"/>
    <n v="43"/>
    <x v="0"/>
    <x v="1"/>
    <n v="2"/>
    <n v="500"/>
    <n v="1000"/>
    <n v="15"/>
  </r>
  <r>
    <n v="276"/>
    <n v="2023"/>
    <n v="10"/>
    <n v="2"/>
    <m/>
    <d v="2023-10-02T00:00:00"/>
    <s v="CUST276"/>
    <x v="1"/>
    <n v="21"/>
    <x v="1"/>
    <x v="0"/>
    <n v="4"/>
    <n v="25"/>
    <n v="100"/>
    <n v="1.5"/>
  </r>
  <r>
    <n v="277"/>
    <n v="2023"/>
    <n v="8"/>
    <n v="18"/>
    <m/>
    <d v="2023-08-18T00:00:00"/>
    <s v="CUST277"/>
    <x v="0"/>
    <n v="36"/>
    <x v="0"/>
    <x v="1"/>
    <n v="4"/>
    <n v="25"/>
    <n v="100"/>
    <n v="1.5"/>
  </r>
  <r>
    <n v="278"/>
    <n v="2023"/>
    <n v="3"/>
    <n v="13"/>
    <m/>
    <d v="2023-03-13T00:00:00"/>
    <s v="CUST278"/>
    <x v="1"/>
    <n v="37"/>
    <x v="0"/>
    <x v="1"/>
    <n v="4"/>
    <n v="25"/>
    <n v="100"/>
    <n v="1.5"/>
  </r>
  <r>
    <n v="279"/>
    <n v="2023"/>
    <n v="8"/>
    <n v="5"/>
    <m/>
    <d v="2023-08-05T00:00:00"/>
    <s v="CUST279"/>
    <x v="0"/>
    <n v="50"/>
    <x v="2"/>
    <x v="1"/>
    <n v="1"/>
    <n v="500"/>
    <n v="500"/>
    <n v="7.5"/>
  </r>
  <r>
    <n v="280"/>
    <n v="2023"/>
    <n v="4"/>
    <n v="4"/>
    <m/>
    <d v="2023-04-04T00:00:00"/>
    <s v="CUST280"/>
    <x v="1"/>
    <n v="37"/>
    <x v="0"/>
    <x v="1"/>
    <n v="3"/>
    <n v="500"/>
    <n v="1500"/>
    <n v="22.5"/>
  </r>
  <r>
    <n v="281"/>
    <n v="2023"/>
    <n v="5"/>
    <n v="23"/>
    <m/>
    <d v="2023-05-23T00:00:00"/>
    <s v="CUST281"/>
    <x v="1"/>
    <n v="29"/>
    <x v="1"/>
    <x v="0"/>
    <n v="4"/>
    <n v="500"/>
    <n v="2000"/>
    <n v="30"/>
  </r>
  <r>
    <n v="282"/>
    <n v="2023"/>
    <n v="8"/>
    <n v="25"/>
    <m/>
    <d v="2023-08-25T00:00:00"/>
    <s v="CUST282"/>
    <x v="1"/>
    <n v="64"/>
    <x v="2"/>
    <x v="2"/>
    <n v="4"/>
    <n v="50"/>
    <n v="200"/>
    <n v="3"/>
  </r>
  <r>
    <n v="283"/>
    <n v="2023"/>
    <n v="5"/>
    <n v="8"/>
    <m/>
    <d v="2023-05-08T00:00:00"/>
    <s v="CUST283"/>
    <x v="1"/>
    <n v="18"/>
    <x v="1"/>
    <x v="2"/>
    <n v="1"/>
    <n v="500"/>
    <n v="500"/>
    <n v="7.5"/>
  </r>
  <r>
    <n v="284"/>
    <n v="2023"/>
    <n v="2"/>
    <n v="8"/>
    <m/>
    <d v="2023-02-08T00:00:00"/>
    <s v="CUST284"/>
    <x v="0"/>
    <n v="43"/>
    <x v="0"/>
    <x v="1"/>
    <n v="4"/>
    <n v="50"/>
    <n v="200"/>
    <n v="3"/>
  </r>
  <r>
    <n v="285"/>
    <n v="2023"/>
    <n v="8"/>
    <n v="15"/>
    <m/>
    <d v="2023-08-15T00:00:00"/>
    <s v="CUST285"/>
    <x v="1"/>
    <n v="31"/>
    <x v="0"/>
    <x v="2"/>
    <n v="1"/>
    <n v="25"/>
    <n v="25"/>
    <n v="0.375"/>
  </r>
  <r>
    <n v="286"/>
    <n v="2023"/>
    <n v="10"/>
    <n v="9"/>
    <m/>
    <d v="2023-10-09T00:00:00"/>
    <s v="CUST286"/>
    <x v="0"/>
    <n v="55"/>
    <x v="2"/>
    <x v="2"/>
    <n v="2"/>
    <n v="25"/>
    <n v="50"/>
    <n v="0.75"/>
  </r>
  <r>
    <n v="287"/>
    <n v="2023"/>
    <n v="2"/>
    <n v="20"/>
    <m/>
    <d v="2023-02-20T00:00:00"/>
    <s v="CUST287"/>
    <x v="0"/>
    <n v="54"/>
    <x v="2"/>
    <x v="1"/>
    <n v="4"/>
    <n v="25"/>
    <n v="100"/>
    <n v="1.5"/>
  </r>
  <r>
    <n v="288"/>
    <n v="2023"/>
    <n v="1"/>
    <n v="26"/>
    <m/>
    <d v="2023-01-26T00:00:00"/>
    <s v="CUST288"/>
    <x v="0"/>
    <n v="28"/>
    <x v="1"/>
    <x v="1"/>
    <n v="4"/>
    <n v="30"/>
    <n v="120"/>
    <n v="1.7999999999999998"/>
  </r>
  <r>
    <n v="289"/>
    <n v="2023"/>
    <n v="11"/>
    <n v="30"/>
    <m/>
    <d v="2023-11-30T00:00:00"/>
    <s v="CUST289"/>
    <x v="0"/>
    <n v="53"/>
    <x v="2"/>
    <x v="2"/>
    <n v="2"/>
    <n v="30"/>
    <n v="60"/>
    <n v="0.89999999999999991"/>
  </r>
  <r>
    <n v="290"/>
    <n v="2023"/>
    <n v="10"/>
    <n v="4"/>
    <m/>
    <d v="2023-10-04T00:00:00"/>
    <s v="CUST290"/>
    <x v="1"/>
    <n v="30"/>
    <x v="0"/>
    <x v="0"/>
    <n v="2"/>
    <n v="300"/>
    <n v="600"/>
    <n v="9"/>
  </r>
  <r>
    <n v="291"/>
    <n v="2023"/>
    <n v="1"/>
    <n v="8"/>
    <m/>
    <d v="2023-01-08T00:00:00"/>
    <s v="CUST291"/>
    <x v="0"/>
    <n v="60"/>
    <x v="2"/>
    <x v="1"/>
    <n v="2"/>
    <n v="300"/>
    <n v="600"/>
    <n v="9"/>
  </r>
  <r>
    <n v="292"/>
    <n v="2023"/>
    <n v="2"/>
    <n v="17"/>
    <m/>
    <d v="2023-02-17T00:00:00"/>
    <s v="CUST292"/>
    <x v="0"/>
    <n v="20"/>
    <x v="1"/>
    <x v="0"/>
    <n v="4"/>
    <n v="300"/>
    <n v="1200"/>
    <n v="18"/>
  </r>
  <r>
    <n v="293"/>
    <n v="2023"/>
    <n v="5"/>
    <n v="2"/>
    <m/>
    <d v="2023-05-02T00:00:00"/>
    <s v="CUST293"/>
    <x v="0"/>
    <n v="50"/>
    <x v="2"/>
    <x v="2"/>
    <n v="3"/>
    <n v="30"/>
    <n v="90"/>
    <n v="1.3499999999999999"/>
  </r>
  <r>
    <n v="294"/>
    <n v="2023"/>
    <n v="3"/>
    <n v="27"/>
    <m/>
    <d v="2023-03-27T00:00:00"/>
    <s v="CUST294"/>
    <x v="1"/>
    <n v="23"/>
    <x v="1"/>
    <x v="1"/>
    <n v="3"/>
    <n v="30"/>
    <n v="90"/>
    <n v="1.3499999999999999"/>
  </r>
  <r>
    <n v="295"/>
    <n v="2023"/>
    <n v="7"/>
    <n v="28"/>
    <m/>
    <d v="2023-07-28T00:00:00"/>
    <s v="CUST295"/>
    <x v="1"/>
    <n v="27"/>
    <x v="1"/>
    <x v="0"/>
    <n v="3"/>
    <n v="300"/>
    <n v="900"/>
    <n v="13.5"/>
  </r>
  <r>
    <n v="296"/>
    <n v="2023"/>
    <n v="9"/>
    <n v="6"/>
    <m/>
    <d v="2023-09-06T00:00:00"/>
    <s v="CUST296"/>
    <x v="1"/>
    <n v="22"/>
    <x v="1"/>
    <x v="1"/>
    <n v="4"/>
    <n v="300"/>
    <n v="1200"/>
    <n v="18"/>
  </r>
  <r>
    <n v="297"/>
    <n v="2023"/>
    <n v="9"/>
    <n v="4"/>
    <m/>
    <d v="2023-09-04T00:00:00"/>
    <s v="CUST297"/>
    <x v="1"/>
    <n v="40"/>
    <x v="0"/>
    <x v="2"/>
    <n v="2"/>
    <n v="500"/>
    <n v="1000"/>
    <n v="15"/>
  </r>
  <r>
    <n v="298"/>
    <n v="2023"/>
    <n v="4"/>
    <n v="20"/>
    <m/>
    <d v="2023-04-20T00:00:00"/>
    <s v="CUST298"/>
    <x v="0"/>
    <n v="27"/>
    <x v="1"/>
    <x v="0"/>
    <n v="4"/>
    <n v="300"/>
    <n v="1200"/>
    <n v="18"/>
  </r>
  <r>
    <n v="299"/>
    <n v="2023"/>
    <n v="7"/>
    <n v="25"/>
    <m/>
    <d v="2023-07-25T00:00:00"/>
    <s v="CUST299"/>
    <x v="0"/>
    <n v="61"/>
    <x v="2"/>
    <x v="2"/>
    <n v="2"/>
    <n v="500"/>
    <n v="1000"/>
    <n v="15"/>
  </r>
  <r>
    <n v="300"/>
    <n v="2023"/>
    <n v="1"/>
    <n v="31"/>
    <m/>
    <d v="2023-01-31T00:00:00"/>
    <s v="CUST300"/>
    <x v="1"/>
    <n v="19"/>
    <x v="1"/>
    <x v="2"/>
    <n v="4"/>
    <n v="50"/>
    <n v="200"/>
    <n v="3"/>
  </r>
  <r>
    <n v="301"/>
    <n v="2023"/>
    <n v="3"/>
    <n v="26"/>
    <m/>
    <d v="2023-03-26T00:00:00"/>
    <s v="CUST301"/>
    <x v="0"/>
    <n v="30"/>
    <x v="0"/>
    <x v="1"/>
    <n v="4"/>
    <n v="30"/>
    <n v="120"/>
    <n v="1.7999999999999998"/>
  </r>
  <r>
    <n v="302"/>
    <n v="2023"/>
    <n v="7"/>
    <n v="14"/>
    <m/>
    <d v="2023-07-14T00:00:00"/>
    <s v="CUST302"/>
    <x v="0"/>
    <n v="57"/>
    <x v="2"/>
    <x v="0"/>
    <n v="2"/>
    <n v="300"/>
    <n v="600"/>
    <n v="9"/>
  </r>
  <r>
    <n v="303"/>
    <n v="2023"/>
    <n v="1"/>
    <n v="2"/>
    <m/>
    <d v="2023-01-02T00:00:00"/>
    <s v="CUST303"/>
    <x v="0"/>
    <n v="19"/>
    <x v="1"/>
    <x v="2"/>
    <n v="3"/>
    <n v="30"/>
    <n v="90"/>
    <n v="1.3499999999999999"/>
  </r>
  <r>
    <n v="304"/>
    <n v="2023"/>
    <n v="7"/>
    <n v="19"/>
    <m/>
    <d v="2023-07-19T00:00:00"/>
    <s v="CUST304"/>
    <x v="1"/>
    <n v="37"/>
    <x v="0"/>
    <x v="2"/>
    <n v="2"/>
    <n v="30"/>
    <n v="60"/>
    <n v="0.89999999999999991"/>
  </r>
  <r>
    <n v="305"/>
    <n v="2023"/>
    <n v="5"/>
    <n v="16"/>
    <m/>
    <d v="2023-05-16T00:00:00"/>
    <s v="CUST305"/>
    <x v="1"/>
    <n v="18"/>
    <x v="1"/>
    <x v="0"/>
    <n v="1"/>
    <n v="30"/>
    <n v="30"/>
    <n v="0.44999999999999996"/>
  </r>
  <r>
    <n v="306"/>
    <n v="2023"/>
    <n v="8"/>
    <n v="21"/>
    <m/>
    <d v="2023-08-21T00:00:00"/>
    <s v="CUST306"/>
    <x v="0"/>
    <n v="54"/>
    <x v="2"/>
    <x v="2"/>
    <n v="1"/>
    <n v="50"/>
    <n v="50"/>
    <n v="0.75"/>
  </r>
  <r>
    <n v="307"/>
    <n v="2023"/>
    <n v="5"/>
    <n v="27"/>
    <m/>
    <d v="2023-05-27T00:00:00"/>
    <s v="CUST307"/>
    <x v="1"/>
    <n v="26"/>
    <x v="1"/>
    <x v="2"/>
    <n v="2"/>
    <n v="25"/>
    <n v="50"/>
    <n v="0.75"/>
  </r>
  <r>
    <n v="308"/>
    <n v="2023"/>
    <n v="8"/>
    <n v="5"/>
    <m/>
    <d v="2023-08-05T00:00:00"/>
    <s v="CUST308"/>
    <x v="1"/>
    <n v="34"/>
    <x v="0"/>
    <x v="0"/>
    <n v="4"/>
    <n v="300"/>
    <n v="1200"/>
    <n v="18"/>
  </r>
  <r>
    <n v="309"/>
    <n v="2023"/>
    <n v="12"/>
    <n v="23"/>
    <m/>
    <d v="2023-12-23T00:00:00"/>
    <s v="CUST309"/>
    <x v="1"/>
    <n v="26"/>
    <x v="1"/>
    <x v="0"/>
    <n v="1"/>
    <n v="25"/>
    <n v="25"/>
    <n v="0.375"/>
  </r>
  <r>
    <n v="310"/>
    <n v="2023"/>
    <n v="10"/>
    <n v="12"/>
    <m/>
    <d v="2023-10-12T00:00:00"/>
    <s v="CUST310"/>
    <x v="1"/>
    <n v="28"/>
    <x v="1"/>
    <x v="0"/>
    <n v="1"/>
    <n v="25"/>
    <n v="25"/>
    <n v="0.375"/>
  </r>
  <r>
    <n v="311"/>
    <n v="2023"/>
    <n v="12"/>
    <n v="5"/>
    <m/>
    <d v="2023-12-05T00:00:00"/>
    <s v="CUST311"/>
    <x v="1"/>
    <n v="32"/>
    <x v="0"/>
    <x v="0"/>
    <n v="4"/>
    <n v="25"/>
    <n v="100"/>
    <n v="1.5"/>
  </r>
  <r>
    <n v="312"/>
    <n v="2023"/>
    <n v="9"/>
    <n v="7"/>
    <m/>
    <d v="2023-09-07T00:00:00"/>
    <s v="CUST312"/>
    <x v="0"/>
    <n v="41"/>
    <x v="0"/>
    <x v="1"/>
    <n v="4"/>
    <n v="30"/>
    <n v="120"/>
    <n v="1.7999999999999998"/>
  </r>
  <r>
    <n v="313"/>
    <n v="2023"/>
    <n v="3"/>
    <n v="21"/>
    <m/>
    <d v="2023-03-21T00:00:00"/>
    <s v="CUST313"/>
    <x v="1"/>
    <n v="55"/>
    <x v="2"/>
    <x v="0"/>
    <n v="3"/>
    <n v="500"/>
    <n v="1500"/>
    <n v="22.5"/>
  </r>
  <r>
    <n v="314"/>
    <n v="2023"/>
    <n v="4"/>
    <n v="8"/>
    <m/>
    <d v="2023-04-08T00:00:00"/>
    <s v="CUST314"/>
    <x v="0"/>
    <n v="52"/>
    <x v="2"/>
    <x v="1"/>
    <n v="4"/>
    <n v="30"/>
    <n v="120"/>
    <n v="1.7999999999999998"/>
  </r>
  <r>
    <n v="315"/>
    <n v="2023"/>
    <n v="6"/>
    <n v="1"/>
    <m/>
    <d v="2023-06-01T00:00:00"/>
    <s v="CUST315"/>
    <x v="0"/>
    <n v="47"/>
    <x v="0"/>
    <x v="1"/>
    <n v="2"/>
    <n v="30"/>
    <n v="60"/>
    <n v="0.89999999999999991"/>
  </r>
  <r>
    <n v="316"/>
    <n v="2023"/>
    <n v="4"/>
    <n v="22"/>
    <m/>
    <d v="2023-04-22T00:00:00"/>
    <s v="CUST316"/>
    <x v="1"/>
    <n v="48"/>
    <x v="0"/>
    <x v="1"/>
    <n v="2"/>
    <n v="25"/>
    <n v="50"/>
    <n v="0.75"/>
  </r>
  <r>
    <n v="317"/>
    <n v="2023"/>
    <n v="1"/>
    <n v="30"/>
    <m/>
    <d v="2023-01-30T00:00:00"/>
    <s v="CUST317"/>
    <x v="0"/>
    <n v="22"/>
    <x v="1"/>
    <x v="2"/>
    <n v="3"/>
    <n v="30"/>
    <n v="90"/>
    <n v="1.3499999999999999"/>
  </r>
  <r>
    <n v="318"/>
    <n v="2023"/>
    <n v="10"/>
    <n v="24"/>
    <m/>
    <d v="2023-10-24T00:00:00"/>
    <s v="CUST318"/>
    <x v="0"/>
    <n v="61"/>
    <x v="2"/>
    <x v="1"/>
    <n v="1"/>
    <n v="25"/>
    <n v="25"/>
    <n v="0.375"/>
  </r>
  <r>
    <n v="319"/>
    <n v="2023"/>
    <n v="10"/>
    <n v="5"/>
    <m/>
    <d v="2023-10-05T00:00:00"/>
    <s v="CUST319"/>
    <x v="0"/>
    <n v="31"/>
    <x v="0"/>
    <x v="1"/>
    <n v="1"/>
    <n v="500"/>
    <n v="500"/>
    <n v="7.5"/>
  </r>
  <r>
    <n v="320"/>
    <n v="2023"/>
    <n v="2"/>
    <n v="1"/>
    <m/>
    <d v="2023-02-01T00:00:00"/>
    <s v="CUST320"/>
    <x v="1"/>
    <n v="28"/>
    <x v="1"/>
    <x v="2"/>
    <n v="4"/>
    <n v="300"/>
    <n v="1200"/>
    <n v="18"/>
  </r>
  <r>
    <n v="321"/>
    <n v="2023"/>
    <n v="6"/>
    <n v="10"/>
    <m/>
    <d v="2023-06-10T00:00:00"/>
    <s v="CUST321"/>
    <x v="1"/>
    <n v="26"/>
    <x v="1"/>
    <x v="2"/>
    <n v="2"/>
    <n v="25"/>
    <n v="50"/>
    <n v="0.75"/>
  </r>
  <r>
    <n v="322"/>
    <n v="2023"/>
    <n v="1"/>
    <n v="30"/>
    <m/>
    <d v="2023-01-30T00:00:00"/>
    <s v="CUST322"/>
    <x v="0"/>
    <n v="51"/>
    <x v="2"/>
    <x v="2"/>
    <n v="1"/>
    <n v="500"/>
    <n v="500"/>
    <n v="7.5"/>
  </r>
  <r>
    <n v="323"/>
    <n v="2023"/>
    <n v="1"/>
    <n v="26"/>
    <m/>
    <d v="2023-01-26T00:00:00"/>
    <s v="CUST323"/>
    <x v="1"/>
    <n v="29"/>
    <x v="1"/>
    <x v="0"/>
    <n v="3"/>
    <n v="300"/>
    <n v="900"/>
    <n v="13.5"/>
  </r>
  <r>
    <n v="324"/>
    <n v="2023"/>
    <n v="10"/>
    <n v="27"/>
    <m/>
    <d v="2023-10-27T00:00:00"/>
    <s v="CUST324"/>
    <x v="1"/>
    <n v="52"/>
    <x v="2"/>
    <x v="2"/>
    <n v="3"/>
    <n v="50"/>
    <n v="150"/>
    <n v="2.25"/>
  </r>
  <r>
    <n v="325"/>
    <n v="2023"/>
    <n v="9"/>
    <n v="2"/>
    <m/>
    <d v="2023-09-02T00:00:00"/>
    <s v="CUST325"/>
    <x v="1"/>
    <n v="52"/>
    <x v="2"/>
    <x v="2"/>
    <n v="2"/>
    <n v="25"/>
    <n v="50"/>
    <n v="0.75"/>
  </r>
  <r>
    <n v="326"/>
    <n v="2023"/>
    <n v="9"/>
    <n v="15"/>
    <m/>
    <d v="2023-09-15T00:00:00"/>
    <s v="CUST326"/>
    <x v="1"/>
    <n v="18"/>
    <x v="1"/>
    <x v="1"/>
    <n v="3"/>
    <n v="25"/>
    <n v="75"/>
    <n v="1.125"/>
  </r>
  <r>
    <n v="327"/>
    <n v="2023"/>
    <n v="9"/>
    <n v="29"/>
    <m/>
    <d v="2023-09-29T00:00:00"/>
    <s v="CUST327"/>
    <x v="0"/>
    <n v="57"/>
    <x v="2"/>
    <x v="2"/>
    <n v="3"/>
    <n v="50"/>
    <n v="150"/>
    <n v="2.25"/>
  </r>
  <r>
    <n v="328"/>
    <n v="2023"/>
    <n v="3"/>
    <n v="22"/>
    <m/>
    <d v="2023-03-22T00:00:00"/>
    <s v="CUST328"/>
    <x v="0"/>
    <n v="39"/>
    <x v="0"/>
    <x v="0"/>
    <n v="2"/>
    <n v="50"/>
    <n v="100"/>
    <n v="1.5"/>
  </r>
  <r>
    <n v="329"/>
    <n v="2023"/>
    <n v="1"/>
    <n v="30"/>
    <m/>
    <d v="2023-01-30T00:00:00"/>
    <s v="CUST329"/>
    <x v="1"/>
    <n v="46"/>
    <x v="0"/>
    <x v="2"/>
    <n v="4"/>
    <n v="25"/>
    <n v="100"/>
    <n v="1.5"/>
  </r>
  <r>
    <n v="330"/>
    <n v="2023"/>
    <n v="9"/>
    <n v="18"/>
    <m/>
    <d v="2023-09-18T00:00:00"/>
    <s v="CUST330"/>
    <x v="1"/>
    <n v="25"/>
    <x v="1"/>
    <x v="0"/>
    <n v="4"/>
    <n v="50"/>
    <n v="200"/>
    <n v="3"/>
  </r>
  <r>
    <n v="331"/>
    <n v="2023"/>
    <n v="2"/>
    <n v="11"/>
    <m/>
    <d v="2023-02-11T00:00:00"/>
    <s v="CUST331"/>
    <x v="0"/>
    <n v="28"/>
    <x v="1"/>
    <x v="2"/>
    <n v="3"/>
    <n v="30"/>
    <n v="90"/>
    <n v="1.3499999999999999"/>
  </r>
  <r>
    <n v="332"/>
    <n v="2023"/>
    <n v="4"/>
    <n v="6"/>
    <m/>
    <d v="2023-04-06T00:00:00"/>
    <s v="CUST332"/>
    <x v="0"/>
    <n v="58"/>
    <x v="2"/>
    <x v="2"/>
    <n v="4"/>
    <n v="300"/>
    <n v="1200"/>
    <n v="18"/>
  </r>
  <r>
    <n v="333"/>
    <n v="2023"/>
    <n v="2"/>
    <n v="5"/>
    <m/>
    <d v="2023-02-05T00:00:00"/>
    <s v="CUST333"/>
    <x v="1"/>
    <n v="54"/>
    <x v="2"/>
    <x v="2"/>
    <n v="4"/>
    <n v="300"/>
    <n v="1200"/>
    <n v="18"/>
  </r>
  <r>
    <n v="334"/>
    <n v="2023"/>
    <n v="11"/>
    <n v="1"/>
    <m/>
    <d v="2023-11-01T00:00:00"/>
    <s v="CUST334"/>
    <x v="0"/>
    <n v="31"/>
    <x v="0"/>
    <x v="2"/>
    <n v="3"/>
    <n v="300"/>
    <n v="900"/>
    <n v="13.5"/>
  </r>
  <r>
    <n v="335"/>
    <n v="2023"/>
    <n v="2"/>
    <n v="4"/>
    <m/>
    <d v="2023-02-04T00:00:00"/>
    <s v="CUST335"/>
    <x v="1"/>
    <n v="47"/>
    <x v="0"/>
    <x v="0"/>
    <n v="4"/>
    <n v="30"/>
    <n v="120"/>
    <n v="1.7999999999999998"/>
  </r>
  <r>
    <n v="336"/>
    <n v="2023"/>
    <n v="12"/>
    <n v="12"/>
    <m/>
    <d v="2023-12-12T00:00:00"/>
    <s v="CUST336"/>
    <x v="1"/>
    <n v="52"/>
    <x v="2"/>
    <x v="0"/>
    <n v="3"/>
    <n v="50"/>
    <n v="150"/>
    <n v="2.25"/>
  </r>
  <r>
    <n v="337"/>
    <n v="2023"/>
    <n v="5"/>
    <n v="1"/>
    <m/>
    <d v="2023-05-01T00:00:00"/>
    <s v="CUST337"/>
    <x v="0"/>
    <n v="38"/>
    <x v="0"/>
    <x v="1"/>
    <n v="1"/>
    <n v="500"/>
    <n v="500"/>
    <n v="7.5"/>
  </r>
  <r>
    <n v="338"/>
    <n v="2023"/>
    <n v="7"/>
    <n v="26"/>
    <m/>
    <d v="2023-07-26T00:00:00"/>
    <s v="CUST338"/>
    <x v="0"/>
    <n v="54"/>
    <x v="2"/>
    <x v="0"/>
    <n v="2"/>
    <n v="50"/>
    <n v="100"/>
    <n v="1.5"/>
  </r>
  <r>
    <n v="339"/>
    <n v="2023"/>
    <n v="3"/>
    <n v="3"/>
    <m/>
    <d v="2023-03-03T00:00:00"/>
    <s v="CUST339"/>
    <x v="1"/>
    <n v="22"/>
    <x v="1"/>
    <x v="2"/>
    <n v="2"/>
    <n v="25"/>
    <n v="50"/>
    <n v="0.75"/>
  </r>
  <r>
    <n v="340"/>
    <n v="2023"/>
    <n v="10"/>
    <n v="19"/>
    <m/>
    <d v="2023-10-19T00:00:00"/>
    <s v="CUST340"/>
    <x v="1"/>
    <n v="36"/>
    <x v="0"/>
    <x v="1"/>
    <n v="4"/>
    <n v="300"/>
    <n v="1200"/>
    <n v="18"/>
  </r>
  <r>
    <n v="341"/>
    <n v="2023"/>
    <n v="5"/>
    <n v="7"/>
    <m/>
    <d v="2023-05-07T00:00:00"/>
    <s v="CUST341"/>
    <x v="0"/>
    <n v="31"/>
    <x v="0"/>
    <x v="1"/>
    <n v="4"/>
    <n v="50"/>
    <n v="200"/>
    <n v="3"/>
  </r>
  <r>
    <n v="342"/>
    <n v="2023"/>
    <n v="10"/>
    <n v="24"/>
    <m/>
    <d v="2023-10-24T00:00:00"/>
    <s v="CUST342"/>
    <x v="1"/>
    <n v="43"/>
    <x v="0"/>
    <x v="1"/>
    <n v="4"/>
    <n v="500"/>
    <n v="2000"/>
    <n v="30"/>
  </r>
  <r>
    <n v="343"/>
    <n v="2023"/>
    <n v="11"/>
    <n v="1"/>
    <m/>
    <d v="2023-11-01T00:00:00"/>
    <s v="CUST343"/>
    <x v="0"/>
    <n v="21"/>
    <x v="1"/>
    <x v="2"/>
    <n v="2"/>
    <n v="25"/>
    <n v="50"/>
    <n v="0.75"/>
  </r>
  <r>
    <n v="344"/>
    <n v="2023"/>
    <n v="1"/>
    <n v="21"/>
    <m/>
    <d v="2023-01-21T00:00:00"/>
    <s v="CUST344"/>
    <x v="1"/>
    <n v="42"/>
    <x v="0"/>
    <x v="0"/>
    <n v="1"/>
    <n v="30"/>
    <n v="30"/>
    <n v="0.44999999999999996"/>
  </r>
  <r>
    <n v="345"/>
    <n v="2023"/>
    <n v="11"/>
    <n v="14"/>
    <m/>
    <d v="2023-11-14T00:00:00"/>
    <s v="CUST345"/>
    <x v="0"/>
    <n v="62"/>
    <x v="2"/>
    <x v="2"/>
    <n v="1"/>
    <n v="30"/>
    <n v="30"/>
    <n v="0.44999999999999996"/>
  </r>
  <r>
    <n v="346"/>
    <n v="2023"/>
    <n v="2"/>
    <n v="11"/>
    <m/>
    <d v="2023-02-11T00:00:00"/>
    <s v="CUST346"/>
    <x v="0"/>
    <n v="59"/>
    <x v="2"/>
    <x v="1"/>
    <n v="2"/>
    <n v="500"/>
    <n v="1000"/>
    <n v="15"/>
  </r>
  <r>
    <n v="347"/>
    <n v="2023"/>
    <n v="8"/>
    <n v="3"/>
    <m/>
    <d v="2023-08-03T00:00:00"/>
    <s v="CUST347"/>
    <x v="0"/>
    <n v="42"/>
    <x v="0"/>
    <x v="2"/>
    <n v="1"/>
    <n v="25"/>
    <n v="25"/>
    <n v="0.375"/>
  </r>
  <r>
    <n v="348"/>
    <n v="2023"/>
    <n v="12"/>
    <n v="3"/>
    <m/>
    <d v="2023-12-03T00:00:00"/>
    <s v="CUST348"/>
    <x v="1"/>
    <n v="35"/>
    <x v="0"/>
    <x v="2"/>
    <n v="2"/>
    <n v="300"/>
    <n v="600"/>
    <n v="9"/>
  </r>
  <r>
    <n v="349"/>
    <n v="2023"/>
    <n v="10"/>
    <n v="26"/>
    <m/>
    <d v="2023-10-26T00:00:00"/>
    <s v="CUST349"/>
    <x v="1"/>
    <n v="57"/>
    <x v="2"/>
    <x v="0"/>
    <n v="1"/>
    <n v="50"/>
    <n v="50"/>
    <n v="0.75"/>
  </r>
  <r>
    <n v="350"/>
    <n v="2023"/>
    <n v="10"/>
    <n v="17"/>
    <m/>
    <d v="2023-10-17T00:00:00"/>
    <s v="CUST350"/>
    <x v="0"/>
    <n v="25"/>
    <x v="1"/>
    <x v="0"/>
    <n v="3"/>
    <n v="25"/>
    <n v="75"/>
    <n v="1.125"/>
  </r>
  <r>
    <n v="351"/>
    <n v="2023"/>
    <n v="9"/>
    <n v="25"/>
    <m/>
    <d v="2023-09-25T00:00:00"/>
    <s v="CUST351"/>
    <x v="1"/>
    <n v="56"/>
    <x v="2"/>
    <x v="1"/>
    <n v="3"/>
    <n v="30"/>
    <n v="90"/>
    <n v="1.3499999999999999"/>
  </r>
  <r>
    <n v="352"/>
    <n v="2023"/>
    <n v="6"/>
    <n v="11"/>
    <m/>
    <d v="2023-06-11T00:00:00"/>
    <s v="CUST352"/>
    <x v="0"/>
    <n v="57"/>
    <x v="2"/>
    <x v="2"/>
    <n v="2"/>
    <n v="500"/>
    <n v="1000"/>
    <n v="15"/>
  </r>
  <r>
    <n v="353"/>
    <n v="2023"/>
    <n v="5"/>
    <n v="14"/>
    <m/>
    <d v="2023-05-14T00:00:00"/>
    <s v="CUST353"/>
    <x v="0"/>
    <n v="31"/>
    <x v="0"/>
    <x v="2"/>
    <n v="1"/>
    <n v="500"/>
    <n v="500"/>
    <n v="7.5"/>
  </r>
  <r>
    <n v="354"/>
    <n v="2023"/>
    <n v="4"/>
    <n v="15"/>
    <m/>
    <d v="2023-04-15T00:00:00"/>
    <s v="CUST354"/>
    <x v="1"/>
    <n v="49"/>
    <x v="0"/>
    <x v="0"/>
    <n v="4"/>
    <n v="50"/>
    <n v="200"/>
    <n v="3"/>
  </r>
  <r>
    <n v="355"/>
    <n v="2023"/>
    <n v="12"/>
    <n v="9"/>
    <m/>
    <d v="2023-12-09T00:00:00"/>
    <s v="CUST355"/>
    <x v="1"/>
    <n v="55"/>
    <x v="2"/>
    <x v="2"/>
    <n v="1"/>
    <n v="500"/>
    <n v="500"/>
    <n v="7.5"/>
  </r>
  <r>
    <n v="356"/>
    <n v="2023"/>
    <n v="6"/>
    <n v="10"/>
    <m/>
    <d v="2023-06-10T00:00:00"/>
    <s v="CUST356"/>
    <x v="0"/>
    <n v="50"/>
    <x v="2"/>
    <x v="2"/>
    <n v="3"/>
    <n v="500"/>
    <n v="1500"/>
    <n v="22.5"/>
  </r>
  <r>
    <n v="357"/>
    <n v="2023"/>
    <n v="5"/>
    <n v="3"/>
    <m/>
    <d v="2023-05-03T00:00:00"/>
    <s v="CUST357"/>
    <x v="1"/>
    <n v="40"/>
    <x v="0"/>
    <x v="2"/>
    <n v="3"/>
    <n v="25"/>
    <n v="75"/>
    <n v="1.125"/>
  </r>
  <r>
    <n v="358"/>
    <n v="2023"/>
    <n v="5"/>
    <n v="16"/>
    <m/>
    <d v="2023-05-16T00:00:00"/>
    <s v="CUST358"/>
    <x v="1"/>
    <n v="32"/>
    <x v="0"/>
    <x v="0"/>
    <n v="1"/>
    <n v="300"/>
    <n v="300"/>
    <n v="4.5"/>
  </r>
  <r>
    <n v="359"/>
    <n v="2023"/>
    <n v="7"/>
    <n v="22"/>
    <m/>
    <d v="2023-07-22T00:00:00"/>
    <s v="CUST359"/>
    <x v="0"/>
    <n v="50"/>
    <x v="2"/>
    <x v="1"/>
    <n v="1"/>
    <n v="50"/>
    <n v="50"/>
    <n v="0.75"/>
  </r>
  <r>
    <n v="360"/>
    <n v="2023"/>
    <n v="3"/>
    <n v="9"/>
    <m/>
    <d v="2023-03-09T00:00:00"/>
    <s v="CUST360"/>
    <x v="0"/>
    <n v="42"/>
    <x v="0"/>
    <x v="1"/>
    <n v="4"/>
    <n v="25"/>
    <n v="100"/>
    <n v="1.5"/>
  </r>
  <r>
    <n v="361"/>
    <n v="2023"/>
    <n v="12"/>
    <n v="10"/>
    <m/>
    <d v="2023-12-10T00:00:00"/>
    <s v="CUST361"/>
    <x v="1"/>
    <n v="34"/>
    <x v="0"/>
    <x v="2"/>
    <n v="4"/>
    <n v="300"/>
    <n v="1200"/>
    <n v="18"/>
  </r>
  <r>
    <n v="362"/>
    <n v="2023"/>
    <n v="11"/>
    <n v="27"/>
    <m/>
    <d v="2023-11-27T00:00:00"/>
    <s v="CUST362"/>
    <x v="0"/>
    <n v="50"/>
    <x v="2"/>
    <x v="1"/>
    <n v="1"/>
    <n v="25"/>
    <n v="25"/>
    <n v="0.375"/>
  </r>
  <r>
    <n v="363"/>
    <n v="2023"/>
    <n v="6"/>
    <n v="3"/>
    <m/>
    <d v="2023-06-03T00:00:00"/>
    <s v="CUST363"/>
    <x v="0"/>
    <n v="64"/>
    <x v="2"/>
    <x v="0"/>
    <n v="1"/>
    <n v="25"/>
    <n v="25"/>
    <n v="0.375"/>
  </r>
  <r>
    <n v="364"/>
    <n v="2023"/>
    <n v="8"/>
    <n v="23"/>
    <m/>
    <d v="2023-08-23T00:00:00"/>
    <s v="CUST364"/>
    <x v="1"/>
    <n v="19"/>
    <x v="1"/>
    <x v="0"/>
    <n v="1"/>
    <n v="500"/>
    <n v="500"/>
    <n v="7.5"/>
  </r>
  <r>
    <n v="365"/>
    <n v="2023"/>
    <n v="6"/>
    <n v="11"/>
    <m/>
    <d v="2023-06-11T00:00:00"/>
    <s v="CUST365"/>
    <x v="0"/>
    <n v="31"/>
    <x v="0"/>
    <x v="1"/>
    <n v="1"/>
    <n v="300"/>
    <n v="300"/>
    <n v="4.5"/>
  </r>
  <r>
    <n v="366"/>
    <n v="2023"/>
    <n v="2"/>
    <n v="7"/>
    <m/>
    <d v="2023-02-07T00:00:00"/>
    <s v="CUST366"/>
    <x v="0"/>
    <n v="57"/>
    <x v="2"/>
    <x v="1"/>
    <n v="2"/>
    <n v="50"/>
    <n v="100"/>
    <n v="1.5"/>
  </r>
  <r>
    <n v="367"/>
    <n v="2023"/>
    <n v="1"/>
    <n v="5"/>
    <m/>
    <d v="2023-01-05T00:00:00"/>
    <s v="CUST367"/>
    <x v="1"/>
    <n v="57"/>
    <x v="2"/>
    <x v="2"/>
    <n v="1"/>
    <n v="50"/>
    <n v="50"/>
    <n v="0.75"/>
  </r>
  <r>
    <n v="368"/>
    <n v="2023"/>
    <n v="8"/>
    <n v="23"/>
    <m/>
    <d v="2023-08-23T00:00:00"/>
    <s v="CUST368"/>
    <x v="1"/>
    <n v="56"/>
    <x v="2"/>
    <x v="1"/>
    <n v="4"/>
    <n v="300"/>
    <n v="1200"/>
    <n v="18"/>
  </r>
  <r>
    <n v="369"/>
    <n v="2023"/>
    <n v="11"/>
    <n v="15"/>
    <m/>
    <d v="2023-11-15T00:00:00"/>
    <s v="CUST369"/>
    <x v="0"/>
    <n v="23"/>
    <x v="1"/>
    <x v="2"/>
    <n v="3"/>
    <n v="500"/>
    <n v="1500"/>
    <n v="22.5"/>
  </r>
  <r>
    <n v="370"/>
    <n v="2023"/>
    <n v="10"/>
    <n v="16"/>
    <m/>
    <d v="2023-10-16T00:00:00"/>
    <s v="CUST370"/>
    <x v="0"/>
    <n v="23"/>
    <x v="1"/>
    <x v="2"/>
    <n v="2"/>
    <n v="30"/>
    <n v="60"/>
    <n v="0.89999999999999991"/>
  </r>
  <r>
    <n v="371"/>
    <n v="2023"/>
    <n v="2"/>
    <n v="21"/>
    <m/>
    <d v="2023-02-21T00:00:00"/>
    <s v="CUST371"/>
    <x v="1"/>
    <n v="20"/>
    <x v="1"/>
    <x v="0"/>
    <n v="1"/>
    <n v="25"/>
    <n v="25"/>
    <n v="0.375"/>
  </r>
  <r>
    <n v="372"/>
    <n v="2023"/>
    <n v="2"/>
    <n v="7"/>
    <m/>
    <d v="2023-02-07T00:00:00"/>
    <s v="CUST372"/>
    <x v="1"/>
    <n v="24"/>
    <x v="1"/>
    <x v="0"/>
    <n v="3"/>
    <n v="500"/>
    <n v="1500"/>
    <n v="22.5"/>
  </r>
  <r>
    <n v="373"/>
    <n v="2023"/>
    <n v="10"/>
    <n v="3"/>
    <m/>
    <d v="2023-10-03T00:00:00"/>
    <s v="CUST373"/>
    <x v="1"/>
    <n v="25"/>
    <x v="1"/>
    <x v="0"/>
    <n v="2"/>
    <n v="300"/>
    <n v="600"/>
    <n v="9"/>
  </r>
  <r>
    <n v="374"/>
    <n v="2023"/>
    <n v="4"/>
    <n v="20"/>
    <m/>
    <d v="2023-04-20T00:00:00"/>
    <s v="CUST374"/>
    <x v="1"/>
    <n v="59"/>
    <x v="2"/>
    <x v="0"/>
    <n v="3"/>
    <n v="25"/>
    <n v="75"/>
    <n v="1.125"/>
  </r>
  <r>
    <n v="375"/>
    <n v="2023"/>
    <n v="9"/>
    <n v="17"/>
    <m/>
    <d v="2023-09-17T00:00:00"/>
    <s v="CUST375"/>
    <x v="0"/>
    <n v="32"/>
    <x v="0"/>
    <x v="1"/>
    <n v="1"/>
    <n v="50"/>
    <n v="50"/>
    <n v="0.75"/>
  </r>
  <r>
    <n v="376"/>
    <n v="2023"/>
    <n v="5"/>
    <n v="16"/>
    <m/>
    <d v="2023-05-16T00:00:00"/>
    <s v="CUST376"/>
    <x v="1"/>
    <n v="64"/>
    <x v="2"/>
    <x v="0"/>
    <n v="1"/>
    <n v="30"/>
    <n v="30"/>
    <n v="0.44999999999999996"/>
  </r>
  <r>
    <n v="377"/>
    <n v="2023"/>
    <n v="3"/>
    <n v="9"/>
    <m/>
    <d v="2023-03-09T00:00:00"/>
    <s v="CUST377"/>
    <x v="1"/>
    <n v="46"/>
    <x v="0"/>
    <x v="1"/>
    <n v="4"/>
    <n v="50"/>
    <n v="200"/>
    <n v="3"/>
  </r>
  <r>
    <n v="378"/>
    <n v="2023"/>
    <n v="6"/>
    <n v="28"/>
    <m/>
    <d v="2023-06-28T00:00:00"/>
    <s v="CUST378"/>
    <x v="0"/>
    <n v="50"/>
    <x v="2"/>
    <x v="0"/>
    <n v="1"/>
    <n v="300"/>
    <n v="300"/>
    <n v="4.5"/>
  </r>
  <r>
    <n v="379"/>
    <n v="2023"/>
    <n v="2"/>
    <n v="5"/>
    <m/>
    <d v="2023-02-05T00:00:00"/>
    <s v="CUST379"/>
    <x v="1"/>
    <n v="47"/>
    <x v="0"/>
    <x v="1"/>
    <n v="1"/>
    <n v="25"/>
    <n v="25"/>
    <n v="0.375"/>
  </r>
  <r>
    <n v="380"/>
    <n v="2023"/>
    <n v="5"/>
    <n v="6"/>
    <m/>
    <d v="2023-05-06T00:00:00"/>
    <s v="CUST380"/>
    <x v="0"/>
    <n v="56"/>
    <x v="2"/>
    <x v="2"/>
    <n v="2"/>
    <n v="300"/>
    <n v="600"/>
    <n v="9"/>
  </r>
  <r>
    <n v="381"/>
    <n v="2023"/>
    <n v="7"/>
    <n v="9"/>
    <m/>
    <d v="2023-07-09T00:00:00"/>
    <s v="CUST381"/>
    <x v="1"/>
    <n v="44"/>
    <x v="0"/>
    <x v="1"/>
    <n v="4"/>
    <n v="25"/>
    <n v="100"/>
    <n v="1.5"/>
  </r>
  <r>
    <n v="382"/>
    <n v="2023"/>
    <n v="5"/>
    <n v="26"/>
    <m/>
    <d v="2023-05-26T00:00:00"/>
    <s v="CUST382"/>
    <x v="1"/>
    <n v="53"/>
    <x v="2"/>
    <x v="1"/>
    <n v="2"/>
    <n v="500"/>
    <n v="1000"/>
    <n v="15"/>
  </r>
  <r>
    <n v="383"/>
    <n v="2023"/>
    <n v="3"/>
    <n v="22"/>
    <m/>
    <d v="2023-03-22T00:00:00"/>
    <s v="CUST383"/>
    <x v="1"/>
    <n v="46"/>
    <x v="0"/>
    <x v="0"/>
    <n v="3"/>
    <n v="30"/>
    <n v="90"/>
    <n v="1.3499999999999999"/>
  </r>
  <r>
    <n v="384"/>
    <n v="2023"/>
    <n v="8"/>
    <n v="13"/>
    <m/>
    <d v="2023-08-13T00:00:00"/>
    <s v="CUST384"/>
    <x v="0"/>
    <n v="55"/>
    <x v="2"/>
    <x v="1"/>
    <n v="1"/>
    <n v="500"/>
    <n v="500"/>
    <n v="7.5"/>
  </r>
  <r>
    <n v="385"/>
    <n v="2023"/>
    <n v="10"/>
    <n v="6"/>
    <m/>
    <d v="2023-10-06T00:00:00"/>
    <s v="CUST385"/>
    <x v="0"/>
    <n v="50"/>
    <x v="2"/>
    <x v="2"/>
    <n v="3"/>
    <n v="500"/>
    <n v="1500"/>
    <n v="22.5"/>
  </r>
  <r>
    <n v="386"/>
    <n v="2023"/>
    <n v="12"/>
    <n v="27"/>
    <m/>
    <d v="2023-12-27T00:00:00"/>
    <s v="CUST386"/>
    <x v="1"/>
    <n v="54"/>
    <x v="2"/>
    <x v="2"/>
    <n v="2"/>
    <n v="300"/>
    <n v="600"/>
    <n v="9"/>
  </r>
  <r>
    <n v="387"/>
    <n v="2023"/>
    <n v="6"/>
    <n v="4"/>
    <m/>
    <d v="2023-06-04T00:00:00"/>
    <s v="CUST387"/>
    <x v="0"/>
    <n v="44"/>
    <x v="0"/>
    <x v="0"/>
    <n v="1"/>
    <n v="30"/>
    <n v="30"/>
    <n v="0.44999999999999996"/>
  </r>
  <r>
    <n v="388"/>
    <n v="2023"/>
    <n v="11"/>
    <n v="10"/>
    <m/>
    <d v="2023-11-10T00:00:00"/>
    <s v="CUST388"/>
    <x v="0"/>
    <n v="50"/>
    <x v="2"/>
    <x v="2"/>
    <n v="1"/>
    <n v="25"/>
    <n v="25"/>
    <n v="0.375"/>
  </r>
  <r>
    <n v="389"/>
    <n v="2023"/>
    <n v="12"/>
    <n v="1"/>
    <m/>
    <d v="2023-12-01T00:00:00"/>
    <s v="CUST389"/>
    <x v="0"/>
    <n v="21"/>
    <x v="1"/>
    <x v="1"/>
    <n v="2"/>
    <n v="25"/>
    <n v="50"/>
    <n v="0.75"/>
  </r>
  <r>
    <n v="390"/>
    <n v="2023"/>
    <n v="9"/>
    <n v="28"/>
    <m/>
    <d v="2023-09-28T00:00:00"/>
    <s v="CUST390"/>
    <x v="0"/>
    <n v="39"/>
    <x v="0"/>
    <x v="2"/>
    <n v="2"/>
    <n v="50"/>
    <n v="100"/>
    <n v="1.5"/>
  </r>
  <r>
    <n v="391"/>
    <n v="2023"/>
    <n v="1"/>
    <n v="5"/>
    <m/>
    <d v="2023-01-05T00:00:00"/>
    <s v="CUST391"/>
    <x v="0"/>
    <n v="19"/>
    <x v="1"/>
    <x v="0"/>
    <n v="2"/>
    <n v="25"/>
    <n v="50"/>
    <n v="0.75"/>
  </r>
  <r>
    <n v="392"/>
    <n v="2023"/>
    <n v="12"/>
    <n v="8"/>
    <m/>
    <d v="2023-12-08T00:00:00"/>
    <s v="CUST392"/>
    <x v="0"/>
    <n v="27"/>
    <x v="1"/>
    <x v="1"/>
    <n v="2"/>
    <n v="300"/>
    <n v="600"/>
    <n v="9"/>
  </r>
  <r>
    <n v="393"/>
    <n v="2023"/>
    <n v="10"/>
    <n v="11"/>
    <m/>
    <d v="2023-10-11T00:00:00"/>
    <s v="CUST393"/>
    <x v="1"/>
    <n v="22"/>
    <x v="1"/>
    <x v="0"/>
    <n v="2"/>
    <n v="500"/>
    <n v="1000"/>
    <n v="15"/>
  </r>
  <r>
    <n v="394"/>
    <n v="2023"/>
    <n v="6"/>
    <n v="3"/>
    <m/>
    <d v="2023-06-03T00:00:00"/>
    <s v="CUST394"/>
    <x v="1"/>
    <n v="27"/>
    <x v="1"/>
    <x v="1"/>
    <n v="1"/>
    <n v="500"/>
    <n v="500"/>
    <n v="7.5"/>
  </r>
  <r>
    <n v="395"/>
    <n v="2023"/>
    <n v="12"/>
    <n v="6"/>
    <m/>
    <d v="2023-12-06T00:00:00"/>
    <s v="CUST395"/>
    <x v="0"/>
    <n v="50"/>
    <x v="2"/>
    <x v="2"/>
    <n v="2"/>
    <n v="500"/>
    <n v="1000"/>
    <n v="15"/>
  </r>
  <r>
    <n v="396"/>
    <n v="2023"/>
    <n v="2"/>
    <n v="23"/>
    <m/>
    <d v="2023-02-23T00:00:00"/>
    <s v="CUST396"/>
    <x v="1"/>
    <n v="55"/>
    <x v="2"/>
    <x v="0"/>
    <n v="1"/>
    <n v="30"/>
    <n v="30"/>
    <n v="0.44999999999999996"/>
  </r>
  <r>
    <n v="397"/>
    <n v="2023"/>
    <n v="3"/>
    <n v="10"/>
    <m/>
    <d v="2023-03-10T00:00:00"/>
    <s v="CUST397"/>
    <x v="1"/>
    <n v="30"/>
    <x v="0"/>
    <x v="0"/>
    <n v="1"/>
    <n v="25"/>
    <n v="25"/>
    <n v="0.375"/>
  </r>
  <r>
    <n v="398"/>
    <n v="2023"/>
    <n v="5"/>
    <n v="16"/>
    <m/>
    <d v="2023-05-16T00:00:00"/>
    <s v="CUST398"/>
    <x v="1"/>
    <n v="48"/>
    <x v="0"/>
    <x v="1"/>
    <n v="2"/>
    <n v="300"/>
    <n v="600"/>
    <n v="9"/>
  </r>
  <r>
    <n v="399"/>
    <n v="2023"/>
    <n v="3"/>
    <n v="1"/>
    <m/>
    <d v="2023-03-01T00:00:00"/>
    <s v="CUST399"/>
    <x v="1"/>
    <n v="64"/>
    <x v="2"/>
    <x v="0"/>
    <n v="2"/>
    <n v="30"/>
    <n v="60"/>
    <n v="0.89999999999999991"/>
  </r>
  <r>
    <n v="400"/>
    <n v="2023"/>
    <n v="2"/>
    <n v="24"/>
    <m/>
    <d v="2023-02-24T00:00:00"/>
    <s v="CUST400"/>
    <x v="0"/>
    <n v="53"/>
    <x v="2"/>
    <x v="1"/>
    <n v="4"/>
    <n v="50"/>
    <n v="200"/>
    <n v="3"/>
  </r>
  <r>
    <n v="401"/>
    <n v="2023"/>
    <n v="10"/>
    <n v="11"/>
    <m/>
    <d v="2023-10-11T00:00:00"/>
    <s v="CUST401"/>
    <x v="1"/>
    <n v="62"/>
    <x v="2"/>
    <x v="1"/>
    <n v="1"/>
    <n v="300"/>
    <n v="300"/>
    <n v="4.5"/>
  </r>
  <r>
    <n v="402"/>
    <n v="2023"/>
    <n v="3"/>
    <n v="21"/>
    <m/>
    <d v="2023-03-21T00:00:00"/>
    <s v="CUST402"/>
    <x v="1"/>
    <n v="41"/>
    <x v="0"/>
    <x v="1"/>
    <n v="2"/>
    <n v="300"/>
    <n v="600"/>
    <n v="9"/>
  </r>
  <r>
    <n v="403"/>
    <n v="2023"/>
    <n v="5"/>
    <n v="20"/>
    <m/>
    <d v="2023-05-20T00:00:00"/>
    <s v="CUST403"/>
    <x v="0"/>
    <n v="32"/>
    <x v="0"/>
    <x v="1"/>
    <n v="2"/>
    <n v="300"/>
    <n v="600"/>
    <n v="9"/>
  </r>
  <r>
    <n v="404"/>
    <n v="2023"/>
    <n v="5"/>
    <n v="25"/>
    <m/>
    <d v="2023-05-25T00:00:00"/>
    <s v="CUST404"/>
    <x v="0"/>
    <n v="46"/>
    <x v="0"/>
    <x v="2"/>
    <n v="2"/>
    <n v="500"/>
    <n v="1000"/>
    <n v="15"/>
  </r>
  <r>
    <n v="405"/>
    <n v="2023"/>
    <n v="11"/>
    <n v="6"/>
    <m/>
    <d v="2023-11-06T00:00:00"/>
    <s v="CUST405"/>
    <x v="1"/>
    <n v="25"/>
    <x v="1"/>
    <x v="1"/>
    <n v="4"/>
    <n v="300"/>
    <n v="1200"/>
    <n v="18"/>
  </r>
  <r>
    <n v="406"/>
    <n v="2023"/>
    <n v="4"/>
    <n v="18"/>
    <m/>
    <d v="2023-04-18T00:00:00"/>
    <s v="CUST406"/>
    <x v="1"/>
    <n v="22"/>
    <x v="1"/>
    <x v="0"/>
    <n v="4"/>
    <n v="25"/>
    <n v="100"/>
    <n v="1.5"/>
  </r>
  <r>
    <n v="407"/>
    <n v="2023"/>
    <n v="6"/>
    <n v="25"/>
    <m/>
    <d v="2023-06-25T00:00:00"/>
    <s v="CUST407"/>
    <x v="1"/>
    <n v="46"/>
    <x v="0"/>
    <x v="2"/>
    <n v="3"/>
    <n v="300"/>
    <n v="900"/>
    <n v="13.5"/>
  </r>
  <r>
    <n v="408"/>
    <n v="2023"/>
    <n v="4"/>
    <n v="15"/>
    <m/>
    <d v="2023-04-15T00:00:00"/>
    <s v="CUST408"/>
    <x v="1"/>
    <n v="64"/>
    <x v="2"/>
    <x v="0"/>
    <n v="1"/>
    <n v="500"/>
    <n v="500"/>
    <n v="7.5"/>
  </r>
  <r>
    <n v="409"/>
    <n v="2023"/>
    <n v="12"/>
    <n v="18"/>
    <m/>
    <d v="2023-12-18T00:00:00"/>
    <s v="CUST409"/>
    <x v="1"/>
    <n v="21"/>
    <x v="1"/>
    <x v="2"/>
    <n v="3"/>
    <n v="300"/>
    <n v="900"/>
    <n v="13.5"/>
  </r>
  <r>
    <n v="410"/>
    <n v="2023"/>
    <n v="11"/>
    <n v="21"/>
    <m/>
    <d v="2023-11-21T00:00:00"/>
    <s v="CUST410"/>
    <x v="1"/>
    <n v="29"/>
    <x v="1"/>
    <x v="1"/>
    <n v="2"/>
    <n v="50"/>
    <n v="100"/>
    <n v="1.5"/>
  </r>
  <r>
    <n v="411"/>
    <n v="2023"/>
    <n v="5"/>
    <n v="16"/>
    <m/>
    <d v="2023-05-16T00:00:00"/>
    <s v="CUST411"/>
    <x v="0"/>
    <n v="62"/>
    <x v="2"/>
    <x v="2"/>
    <n v="4"/>
    <n v="50"/>
    <n v="200"/>
    <n v="3"/>
  </r>
  <r>
    <n v="412"/>
    <n v="2023"/>
    <n v="9"/>
    <n v="16"/>
    <m/>
    <d v="2023-09-16T00:00:00"/>
    <s v="CUST412"/>
    <x v="1"/>
    <n v="19"/>
    <x v="1"/>
    <x v="2"/>
    <n v="4"/>
    <n v="500"/>
    <n v="2000"/>
    <n v="30"/>
  </r>
  <r>
    <n v="413"/>
    <n v="2023"/>
    <n v="9"/>
    <n v="8"/>
    <m/>
    <d v="2023-09-08T00:00:00"/>
    <s v="CUST413"/>
    <x v="1"/>
    <n v="44"/>
    <x v="0"/>
    <x v="0"/>
    <n v="3"/>
    <n v="25"/>
    <n v="75"/>
    <n v="1.125"/>
  </r>
  <r>
    <n v="414"/>
    <n v="2023"/>
    <n v="5"/>
    <n v="9"/>
    <m/>
    <d v="2023-05-09T00:00:00"/>
    <s v="CUST414"/>
    <x v="0"/>
    <n v="48"/>
    <x v="0"/>
    <x v="0"/>
    <n v="4"/>
    <n v="25"/>
    <n v="100"/>
    <n v="1.5"/>
  </r>
  <r>
    <n v="415"/>
    <n v="2023"/>
    <n v="1"/>
    <n v="27"/>
    <m/>
    <d v="2023-01-27T00:00:00"/>
    <s v="CUST415"/>
    <x v="0"/>
    <n v="53"/>
    <x v="2"/>
    <x v="1"/>
    <n v="2"/>
    <n v="30"/>
    <n v="60"/>
    <n v="0.89999999999999991"/>
  </r>
  <r>
    <n v="416"/>
    <n v="2023"/>
    <n v="2"/>
    <n v="17"/>
    <m/>
    <d v="2023-02-17T00:00:00"/>
    <s v="CUST416"/>
    <x v="0"/>
    <n v="53"/>
    <x v="2"/>
    <x v="2"/>
    <n v="4"/>
    <n v="500"/>
    <n v="2000"/>
    <n v="30"/>
  </r>
  <r>
    <n v="417"/>
    <n v="2023"/>
    <n v="11"/>
    <n v="21"/>
    <m/>
    <d v="2023-11-21T00:00:00"/>
    <s v="CUST417"/>
    <x v="0"/>
    <n v="43"/>
    <x v="0"/>
    <x v="2"/>
    <n v="3"/>
    <n v="300"/>
    <n v="900"/>
    <n v="13.5"/>
  </r>
  <r>
    <n v="418"/>
    <n v="2023"/>
    <n v="8"/>
    <n v="5"/>
    <m/>
    <d v="2023-08-05T00:00:00"/>
    <s v="CUST418"/>
    <x v="1"/>
    <n v="60"/>
    <x v="2"/>
    <x v="2"/>
    <n v="2"/>
    <n v="500"/>
    <n v="1000"/>
    <n v="15"/>
  </r>
  <r>
    <n v="419"/>
    <n v="2023"/>
    <n v="5"/>
    <n v="22"/>
    <m/>
    <d v="2023-05-22T00:00:00"/>
    <s v="CUST419"/>
    <x v="1"/>
    <n v="44"/>
    <x v="0"/>
    <x v="1"/>
    <n v="3"/>
    <n v="30"/>
    <n v="90"/>
    <n v="1.3499999999999999"/>
  </r>
  <r>
    <n v="420"/>
    <n v="2023"/>
    <n v="1"/>
    <n v="23"/>
    <m/>
    <d v="2023-01-23T00:00:00"/>
    <s v="CUST420"/>
    <x v="1"/>
    <n v="22"/>
    <x v="1"/>
    <x v="1"/>
    <n v="4"/>
    <n v="500"/>
    <n v="2000"/>
    <n v="30"/>
  </r>
  <r>
    <n v="421"/>
    <n v="2023"/>
    <n v="1"/>
    <n v="2"/>
    <m/>
    <d v="2023-01-02T00:00:00"/>
    <s v="CUST421"/>
    <x v="1"/>
    <n v="37"/>
    <x v="0"/>
    <x v="1"/>
    <n v="3"/>
    <n v="500"/>
    <n v="1500"/>
    <n v="22.5"/>
  </r>
  <r>
    <n v="422"/>
    <n v="2023"/>
    <n v="6"/>
    <n v="20"/>
    <m/>
    <d v="2023-06-20T00:00:00"/>
    <s v="CUST422"/>
    <x v="1"/>
    <n v="28"/>
    <x v="1"/>
    <x v="1"/>
    <n v="3"/>
    <n v="30"/>
    <n v="90"/>
    <n v="1.3499999999999999"/>
  </r>
  <r>
    <n v="423"/>
    <n v="2023"/>
    <n v="3"/>
    <n v="8"/>
    <m/>
    <d v="2023-03-08T00:00:00"/>
    <s v="CUST423"/>
    <x v="1"/>
    <n v="27"/>
    <x v="1"/>
    <x v="1"/>
    <n v="1"/>
    <n v="25"/>
    <n v="25"/>
    <n v="0.375"/>
  </r>
  <r>
    <n v="424"/>
    <n v="2023"/>
    <n v="11"/>
    <n v="23"/>
    <m/>
    <d v="2023-11-23T00:00:00"/>
    <s v="CUST424"/>
    <x v="0"/>
    <n v="57"/>
    <x v="2"/>
    <x v="0"/>
    <n v="4"/>
    <n v="300"/>
    <n v="1200"/>
    <n v="18"/>
  </r>
  <r>
    <n v="425"/>
    <n v="2023"/>
    <n v="5"/>
    <n v="15"/>
    <m/>
    <d v="2023-05-15T00:00:00"/>
    <s v="CUST425"/>
    <x v="1"/>
    <n v="55"/>
    <x v="2"/>
    <x v="2"/>
    <n v="4"/>
    <n v="30"/>
    <n v="120"/>
    <n v="1.7999999999999998"/>
  </r>
  <r>
    <n v="426"/>
    <n v="2023"/>
    <n v="3"/>
    <n v="24"/>
    <m/>
    <d v="2023-03-24T00:00:00"/>
    <s v="CUST426"/>
    <x v="0"/>
    <n v="23"/>
    <x v="1"/>
    <x v="2"/>
    <n v="3"/>
    <n v="50"/>
    <n v="150"/>
    <n v="2.25"/>
  </r>
  <r>
    <n v="427"/>
    <n v="2023"/>
    <n v="8"/>
    <n v="15"/>
    <m/>
    <d v="2023-08-15T00:00:00"/>
    <s v="CUST427"/>
    <x v="0"/>
    <n v="25"/>
    <x v="1"/>
    <x v="2"/>
    <n v="1"/>
    <n v="25"/>
    <n v="25"/>
    <n v="0.375"/>
  </r>
  <r>
    <n v="428"/>
    <n v="2023"/>
    <n v="10"/>
    <n v="10"/>
    <m/>
    <d v="2023-10-10T00:00:00"/>
    <s v="CUST428"/>
    <x v="1"/>
    <n v="40"/>
    <x v="0"/>
    <x v="2"/>
    <n v="4"/>
    <n v="50"/>
    <n v="200"/>
    <n v="3"/>
  </r>
  <r>
    <n v="429"/>
    <n v="2023"/>
    <n v="12"/>
    <n v="28"/>
    <m/>
    <d v="2023-12-28T00:00:00"/>
    <s v="CUST429"/>
    <x v="0"/>
    <n v="64"/>
    <x v="2"/>
    <x v="2"/>
    <n v="2"/>
    <n v="25"/>
    <n v="50"/>
    <n v="0.75"/>
  </r>
  <r>
    <n v="430"/>
    <n v="2023"/>
    <n v="8"/>
    <n v="7"/>
    <m/>
    <d v="2023-08-07T00:00:00"/>
    <s v="CUST430"/>
    <x v="1"/>
    <n v="43"/>
    <x v="0"/>
    <x v="2"/>
    <n v="3"/>
    <n v="300"/>
    <n v="900"/>
    <n v="13.5"/>
  </r>
  <r>
    <n v="431"/>
    <n v="2023"/>
    <n v="10"/>
    <n v="15"/>
    <m/>
    <d v="2023-10-15T00:00:00"/>
    <s v="CUST431"/>
    <x v="0"/>
    <n v="63"/>
    <x v="2"/>
    <x v="2"/>
    <n v="4"/>
    <n v="300"/>
    <n v="1200"/>
    <n v="18"/>
  </r>
  <r>
    <n v="432"/>
    <n v="2023"/>
    <n v="1"/>
    <n v="5"/>
    <m/>
    <d v="2023-01-05T00:00:00"/>
    <s v="CUST432"/>
    <x v="1"/>
    <n v="60"/>
    <x v="2"/>
    <x v="2"/>
    <n v="2"/>
    <n v="500"/>
    <n v="1000"/>
    <n v="15"/>
  </r>
  <r>
    <n v="433"/>
    <n v="2023"/>
    <n v="2"/>
    <n v="27"/>
    <m/>
    <d v="2023-02-27T00:00:00"/>
    <s v="CUST433"/>
    <x v="0"/>
    <n v="29"/>
    <x v="1"/>
    <x v="0"/>
    <n v="4"/>
    <n v="50"/>
    <n v="200"/>
    <n v="3"/>
  </r>
  <r>
    <n v="434"/>
    <n v="2023"/>
    <n v="2"/>
    <n v="8"/>
    <m/>
    <d v="2023-02-08T00:00:00"/>
    <s v="CUST434"/>
    <x v="1"/>
    <n v="43"/>
    <x v="0"/>
    <x v="2"/>
    <n v="2"/>
    <n v="25"/>
    <n v="50"/>
    <n v="0.75"/>
  </r>
  <r>
    <n v="435"/>
    <n v="2023"/>
    <n v="12"/>
    <n v="20"/>
    <m/>
    <d v="2023-12-20T00:00:00"/>
    <s v="CUST435"/>
    <x v="1"/>
    <n v="30"/>
    <x v="0"/>
    <x v="0"/>
    <n v="3"/>
    <n v="300"/>
    <n v="900"/>
    <n v="13.5"/>
  </r>
  <r>
    <n v="436"/>
    <n v="2023"/>
    <n v="3"/>
    <n v="18"/>
    <m/>
    <d v="2023-03-18T00:00:00"/>
    <s v="CUST436"/>
    <x v="1"/>
    <n v="57"/>
    <x v="2"/>
    <x v="1"/>
    <n v="4"/>
    <n v="30"/>
    <n v="120"/>
    <n v="1.7999999999999998"/>
  </r>
  <r>
    <n v="437"/>
    <n v="2023"/>
    <n v="10"/>
    <n v="7"/>
    <m/>
    <d v="2023-10-07T00:00:00"/>
    <s v="CUST437"/>
    <x v="1"/>
    <n v="35"/>
    <x v="0"/>
    <x v="2"/>
    <n v="4"/>
    <n v="300"/>
    <n v="1200"/>
    <n v="18"/>
  </r>
  <r>
    <n v="438"/>
    <n v="2023"/>
    <n v="1"/>
    <n v="19"/>
    <m/>
    <d v="2023-01-19T00:00:00"/>
    <s v="CUST438"/>
    <x v="1"/>
    <n v="42"/>
    <x v="0"/>
    <x v="1"/>
    <n v="1"/>
    <n v="30"/>
    <n v="30"/>
    <n v="0.44999999999999996"/>
  </r>
  <r>
    <n v="439"/>
    <n v="2023"/>
    <n v="7"/>
    <n v="9"/>
    <m/>
    <d v="2023-07-09T00:00:00"/>
    <s v="CUST439"/>
    <x v="0"/>
    <n v="50"/>
    <x v="2"/>
    <x v="1"/>
    <n v="3"/>
    <n v="25"/>
    <n v="75"/>
    <n v="1.125"/>
  </r>
  <r>
    <n v="440"/>
    <n v="2023"/>
    <n v="10"/>
    <n v="26"/>
    <m/>
    <d v="2023-10-26T00:00:00"/>
    <s v="CUST440"/>
    <x v="0"/>
    <n v="64"/>
    <x v="2"/>
    <x v="1"/>
    <n v="2"/>
    <n v="300"/>
    <n v="600"/>
    <n v="9"/>
  </r>
  <r>
    <n v="441"/>
    <n v="2023"/>
    <n v="10"/>
    <n v="10"/>
    <m/>
    <d v="2023-10-10T00:00:00"/>
    <s v="CUST441"/>
    <x v="0"/>
    <n v="57"/>
    <x v="2"/>
    <x v="0"/>
    <n v="4"/>
    <n v="300"/>
    <n v="1200"/>
    <n v="18"/>
  </r>
  <r>
    <n v="442"/>
    <n v="2023"/>
    <n v="3"/>
    <n v="17"/>
    <m/>
    <d v="2023-03-17T00:00:00"/>
    <s v="CUST442"/>
    <x v="1"/>
    <n v="60"/>
    <x v="2"/>
    <x v="1"/>
    <n v="4"/>
    <n v="25"/>
    <n v="100"/>
    <n v="1.5"/>
  </r>
  <r>
    <n v="443"/>
    <n v="2023"/>
    <n v="8"/>
    <n v="9"/>
    <m/>
    <d v="2023-08-09T00:00:00"/>
    <s v="CUST443"/>
    <x v="0"/>
    <n v="29"/>
    <x v="1"/>
    <x v="1"/>
    <n v="2"/>
    <n v="300"/>
    <n v="600"/>
    <n v="9"/>
  </r>
  <r>
    <n v="444"/>
    <n v="2023"/>
    <n v="3"/>
    <n v="7"/>
    <m/>
    <d v="2023-03-07T00:00:00"/>
    <s v="CUST444"/>
    <x v="1"/>
    <n v="61"/>
    <x v="2"/>
    <x v="1"/>
    <n v="3"/>
    <n v="30"/>
    <n v="90"/>
    <n v="1.3499999999999999"/>
  </r>
  <r>
    <n v="445"/>
    <n v="2023"/>
    <n v="1"/>
    <n v="22"/>
    <m/>
    <d v="2023-01-22T00:00:00"/>
    <s v="CUST445"/>
    <x v="1"/>
    <n v="53"/>
    <x v="2"/>
    <x v="2"/>
    <n v="1"/>
    <n v="300"/>
    <n v="300"/>
    <n v="4.5"/>
  </r>
  <r>
    <n v="446"/>
    <n v="2023"/>
    <n v="6"/>
    <n v="7"/>
    <m/>
    <d v="2023-06-07T00:00:00"/>
    <s v="CUST446"/>
    <x v="0"/>
    <n v="21"/>
    <x v="1"/>
    <x v="2"/>
    <n v="1"/>
    <n v="50"/>
    <n v="50"/>
    <n v="0.75"/>
  </r>
  <r>
    <n v="447"/>
    <n v="2023"/>
    <n v="7"/>
    <n v="6"/>
    <m/>
    <d v="2023-07-06T00:00:00"/>
    <s v="CUST447"/>
    <x v="0"/>
    <n v="22"/>
    <x v="1"/>
    <x v="0"/>
    <n v="4"/>
    <n v="500"/>
    <n v="2000"/>
    <n v="30"/>
  </r>
  <r>
    <n v="448"/>
    <n v="2023"/>
    <n v="1"/>
    <n v="21"/>
    <m/>
    <d v="2023-01-21T00:00:00"/>
    <s v="CUST448"/>
    <x v="1"/>
    <n v="54"/>
    <x v="2"/>
    <x v="0"/>
    <n v="2"/>
    <n v="30"/>
    <n v="60"/>
    <n v="0.89999999999999991"/>
  </r>
  <r>
    <n v="449"/>
    <n v="2023"/>
    <n v="7"/>
    <n v="3"/>
    <m/>
    <d v="2023-07-03T00:00:00"/>
    <s v="CUST449"/>
    <x v="0"/>
    <n v="25"/>
    <x v="1"/>
    <x v="2"/>
    <n v="4"/>
    <n v="50"/>
    <n v="200"/>
    <n v="3"/>
  </r>
  <r>
    <n v="450"/>
    <n v="2023"/>
    <n v="4"/>
    <n v="18"/>
    <m/>
    <d v="2023-04-18T00:00:00"/>
    <s v="CUST450"/>
    <x v="1"/>
    <n v="59"/>
    <x v="2"/>
    <x v="0"/>
    <n v="2"/>
    <n v="25"/>
    <n v="50"/>
    <n v="0.75"/>
  </r>
  <r>
    <n v="451"/>
    <n v="2023"/>
    <n v="12"/>
    <n v="16"/>
    <m/>
    <d v="2023-12-16T00:00:00"/>
    <s v="CUST451"/>
    <x v="1"/>
    <n v="45"/>
    <x v="0"/>
    <x v="2"/>
    <n v="1"/>
    <n v="30"/>
    <n v="30"/>
    <n v="0.44999999999999996"/>
  </r>
  <r>
    <n v="452"/>
    <n v="2023"/>
    <n v="5"/>
    <n v="8"/>
    <m/>
    <d v="2023-05-08T00:00:00"/>
    <s v="CUST452"/>
    <x v="1"/>
    <n v="48"/>
    <x v="0"/>
    <x v="1"/>
    <n v="3"/>
    <n v="500"/>
    <n v="1500"/>
    <n v="22.5"/>
  </r>
  <r>
    <n v="453"/>
    <n v="2023"/>
    <n v="12"/>
    <n v="8"/>
    <m/>
    <d v="2023-12-08T00:00:00"/>
    <s v="CUST453"/>
    <x v="1"/>
    <n v="26"/>
    <x v="1"/>
    <x v="1"/>
    <n v="2"/>
    <n v="500"/>
    <n v="1000"/>
    <n v="15"/>
  </r>
  <r>
    <n v="454"/>
    <n v="2023"/>
    <n v="2"/>
    <n v="22"/>
    <m/>
    <d v="2023-02-22T00:00:00"/>
    <s v="CUST454"/>
    <x v="1"/>
    <n v="46"/>
    <x v="0"/>
    <x v="0"/>
    <n v="1"/>
    <n v="25"/>
    <n v="25"/>
    <n v="0.375"/>
  </r>
  <r>
    <n v="455"/>
    <n v="2023"/>
    <n v="7"/>
    <n v="1"/>
    <m/>
    <d v="2023-07-01T00:00:00"/>
    <s v="CUST455"/>
    <x v="0"/>
    <n v="31"/>
    <x v="0"/>
    <x v="2"/>
    <n v="4"/>
    <n v="25"/>
    <n v="100"/>
    <n v="1.5"/>
  </r>
  <r>
    <n v="456"/>
    <n v="2023"/>
    <n v="10"/>
    <n v="14"/>
    <m/>
    <d v="2023-10-14T00:00:00"/>
    <s v="CUST456"/>
    <x v="0"/>
    <n v="57"/>
    <x v="2"/>
    <x v="2"/>
    <n v="2"/>
    <n v="30"/>
    <n v="60"/>
    <n v="0.89999999999999991"/>
  </r>
  <r>
    <n v="457"/>
    <n v="2023"/>
    <n v="7"/>
    <n v="28"/>
    <m/>
    <d v="2023-07-28T00:00:00"/>
    <s v="CUST457"/>
    <x v="1"/>
    <n v="58"/>
    <x v="2"/>
    <x v="0"/>
    <n v="3"/>
    <n v="300"/>
    <n v="900"/>
    <n v="13.5"/>
  </r>
  <r>
    <n v="458"/>
    <n v="2023"/>
    <n v="11"/>
    <n v="14"/>
    <m/>
    <d v="2023-11-14T00:00:00"/>
    <s v="CUST458"/>
    <x v="1"/>
    <n v="39"/>
    <x v="0"/>
    <x v="2"/>
    <n v="4"/>
    <n v="25"/>
    <n v="100"/>
    <n v="1.5"/>
  </r>
  <r>
    <n v="459"/>
    <n v="2023"/>
    <n v="3"/>
    <n v="21"/>
    <m/>
    <d v="2023-03-21T00:00:00"/>
    <s v="CUST459"/>
    <x v="0"/>
    <n v="28"/>
    <x v="1"/>
    <x v="1"/>
    <n v="4"/>
    <n v="300"/>
    <n v="1200"/>
    <n v="18"/>
  </r>
  <r>
    <n v="460"/>
    <n v="2023"/>
    <n v="5"/>
    <n v="2"/>
    <m/>
    <d v="2023-05-02T00:00:00"/>
    <s v="CUST460"/>
    <x v="0"/>
    <n v="40"/>
    <x v="0"/>
    <x v="0"/>
    <n v="1"/>
    <n v="50"/>
    <n v="50"/>
    <n v="0.75"/>
  </r>
  <r>
    <n v="461"/>
    <n v="2023"/>
    <n v="3"/>
    <n v="25"/>
    <m/>
    <d v="2023-03-25T00:00:00"/>
    <s v="CUST461"/>
    <x v="1"/>
    <n v="18"/>
    <x v="1"/>
    <x v="0"/>
    <n v="2"/>
    <n v="500"/>
    <n v="1000"/>
    <n v="15"/>
  </r>
  <r>
    <n v="462"/>
    <n v="2023"/>
    <n v="4"/>
    <n v="1"/>
    <m/>
    <d v="2023-04-01T00:00:00"/>
    <s v="CUST462"/>
    <x v="0"/>
    <n v="63"/>
    <x v="2"/>
    <x v="2"/>
    <n v="4"/>
    <n v="300"/>
    <n v="1200"/>
    <n v="18"/>
  </r>
  <r>
    <n v="463"/>
    <n v="2023"/>
    <n v="7"/>
    <n v="31"/>
    <m/>
    <d v="2023-07-31T00:00:00"/>
    <s v="CUST463"/>
    <x v="1"/>
    <n v="54"/>
    <x v="2"/>
    <x v="0"/>
    <n v="3"/>
    <n v="500"/>
    <n v="1500"/>
    <n v="22.5"/>
  </r>
  <r>
    <n v="464"/>
    <n v="2023"/>
    <n v="1"/>
    <n v="13"/>
    <m/>
    <d v="2023-01-13T00:00:00"/>
    <s v="CUST464"/>
    <x v="0"/>
    <n v="38"/>
    <x v="0"/>
    <x v="2"/>
    <n v="2"/>
    <n v="300"/>
    <n v="600"/>
    <n v="9"/>
  </r>
  <r>
    <n v="465"/>
    <n v="2023"/>
    <n v="4"/>
    <n v="2"/>
    <m/>
    <d v="2023-04-02T00:00:00"/>
    <s v="CUST465"/>
    <x v="1"/>
    <n v="43"/>
    <x v="0"/>
    <x v="2"/>
    <n v="3"/>
    <n v="50"/>
    <n v="150"/>
    <n v="2.25"/>
  </r>
  <r>
    <n v="466"/>
    <n v="2023"/>
    <n v="6"/>
    <n v="20"/>
    <m/>
    <d v="2023-06-20T00:00:00"/>
    <s v="CUST466"/>
    <x v="0"/>
    <n v="63"/>
    <x v="2"/>
    <x v="2"/>
    <n v="4"/>
    <n v="25"/>
    <n v="100"/>
    <n v="1.5"/>
  </r>
  <r>
    <n v="467"/>
    <n v="2023"/>
    <n v="7"/>
    <n v="30"/>
    <m/>
    <d v="2023-07-30T00:00:00"/>
    <s v="CUST467"/>
    <x v="1"/>
    <n v="53"/>
    <x v="2"/>
    <x v="2"/>
    <n v="3"/>
    <n v="50"/>
    <n v="150"/>
    <n v="2.25"/>
  </r>
  <r>
    <n v="468"/>
    <n v="2023"/>
    <n v="12"/>
    <n v="9"/>
    <m/>
    <d v="2023-12-09T00:00:00"/>
    <s v="CUST468"/>
    <x v="0"/>
    <n v="40"/>
    <x v="0"/>
    <x v="2"/>
    <n v="1"/>
    <n v="25"/>
    <n v="25"/>
    <n v="0.375"/>
  </r>
  <r>
    <n v="469"/>
    <n v="2023"/>
    <n v="5"/>
    <n v="8"/>
    <m/>
    <d v="2023-05-08T00:00:00"/>
    <s v="CUST469"/>
    <x v="0"/>
    <n v="18"/>
    <x v="1"/>
    <x v="0"/>
    <n v="3"/>
    <n v="25"/>
    <n v="75"/>
    <n v="1.125"/>
  </r>
  <r>
    <n v="470"/>
    <n v="2023"/>
    <n v="5"/>
    <n v="17"/>
    <m/>
    <d v="2023-05-17T00:00:00"/>
    <s v="CUST470"/>
    <x v="1"/>
    <n v="57"/>
    <x v="2"/>
    <x v="1"/>
    <n v="2"/>
    <n v="500"/>
    <n v="1000"/>
    <n v="15"/>
  </r>
  <r>
    <n v="471"/>
    <n v="2023"/>
    <n v="3"/>
    <n v="23"/>
    <m/>
    <d v="2023-03-23T00:00:00"/>
    <s v="CUST471"/>
    <x v="0"/>
    <n v="32"/>
    <x v="0"/>
    <x v="1"/>
    <n v="3"/>
    <n v="50"/>
    <n v="150"/>
    <n v="2.25"/>
  </r>
  <r>
    <n v="472"/>
    <n v="2023"/>
    <n v="12"/>
    <n v="26"/>
    <m/>
    <d v="2023-12-26T00:00:00"/>
    <s v="CUST472"/>
    <x v="1"/>
    <n v="38"/>
    <x v="0"/>
    <x v="0"/>
    <n v="3"/>
    <n v="300"/>
    <n v="900"/>
    <n v="13.5"/>
  </r>
  <r>
    <n v="473"/>
    <n v="2023"/>
    <n v="2"/>
    <n v="25"/>
    <m/>
    <d v="2023-02-25T00:00:00"/>
    <s v="CUST473"/>
    <x v="0"/>
    <n v="64"/>
    <x v="2"/>
    <x v="0"/>
    <n v="1"/>
    <n v="50"/>
    <n v="50"/>
    <n v="0.75"/>
  </r>
  <r>
    <n v="474"/>
    <n v="2023"/>
    <n v="7"/>
    <n v="15"/>
    <m/>
    <d v="2023-07-15T00:00:00"/>
    <s v="CUST474"/>
    <x v="1"/>
    <n v="26"/>
    <x v="1"/>
    <x v="1"/>
    <n v="3"/>
    <n v="500"/>
    <n v="1500"/>
    <n v="22.5"/>
  </r>
  <r>
    <n v="475"/>
    <n v="2023"/>
    <n v="1"/>
    <n v="20"/>
    <m/>
    <d v="2023-01-20T00:00:00"/>
    <s v="CUST475"/>
    <x v="0"/>
    <n v="26"/>
    <x v="1"/>
    <x v="1"/>
    <n v="3"/>
    <n v="25"/>
    <n v="75"/>
    <n v="1.125"/>
  </r>
  <r>
    <n v="476"/>
    <n v="2023"/>
    <n v="8"/>
    <n v="29"/>
    <m/>
    <d v="2023-08-29T00:00:00"/>
    <s v="CUST476"/>
    <x v="1"/>
    <n v="27"/>
    <x v="1"/>
    <x v="1"/>
    <n v="4"/>
    <n v="500"/>
    <n v="2000"/>
    <n v="30"/>
  </r>
  <r>
    <n v="477"/>
    <n v="2023"/>
    <n v="4"/>
    <n v="24"/>
    <m/>
    <d v="2023-04-24T00:00:00"/>
    <s v="CUST477"/>
    <x v="0"/>
    <n v="43"/>
    <x v="0"/>
    <x v="1"/>
    <n v="4"/>
    <n v="30"/>
    <n v="120"/>
    <n v="1.7999999999999998"/>
  </r>
  <r>
    <n v="478"/>
    <n v="2023"/>
    <n v="4"/>
    <n v="13"/>
    <m/>
    <d v="2023-04-13T00:00:00"/>
    <s v="CUST478"/>
    <x v="1"/>
    <n v="58"/>
    <x v="2"/>
    <x v="1"/>
    <n v="2"/>
    <n v="30"/>
    <n v="60"/>
    <n v="0.89999999999999991"/>
  </r>
  <r>
    <n v="479"/>
    <n v="2023"/>
    <n v="8"/>
    <n v="24"/>
    <m/>
    <d v="2023-08-24T00:00:00"/>
    <s v="CUST479"/>
    <x v="0"/>
    <n v="52"/>
    <x v="2"/>
    <x v="2"/>
    <n v="4"/>
    <n v="300"/>
    <n v="1200"/>
    <n v="18"/>
  </r>
  <r>
    <n v="480"/>
    <n v="2023"/>
    <n v="6"/>
    <n v="29"/>
    <m/>
    <d v="2023-06-29T00:00:00"/>
    <s v="CUST480"/>
    <x v="1"/>
    <n v="42"/>
    <x v="0"/>
    <x v="0"/>
    <n v="4"/>
    <n v="500"/>
    <n v="2000"/>
    <n v="30"/>
  </r>
  <r>
    <n v="481"/>
    <n v="2023"/>
    <n v="6"/>
    <n v="6"/>
    <m/>
    <d v="2023-06-06T00:00:00"/>
    <s v="CUST481"/>
    <x v="1"/>
    <n v="43"/>
    <x v="0"/>
    <x v="2"/>
    <n v="4"/>
    <n v="300"/>
    <n v="1200"/>
    <n v="18"/>
  </r>
  <r>
    <n v="482"/>
    <n v="2023"/>
    <n v="4"/>
    <n v="27"/>
    <m/>
    <d v="2023-04-27T00:00:00"/>
    <s v="CUST482"/>
    <x v="1"/>
    <n v="28"/>
    <x v="1"/>
    <x v="1"/>
    <n v="4"/>
    <n v="300"/>
    <n v="1200"/>
    <n v="18"/>
  </r>
  <r>
    <n v="483"/>
    <n v="2023"/>
    <n v="4"/>
    <n v="25"/>
    <m/>
    <d v="2023-04-25T00:00:00"/>
    <s v="CUST483"/>
    <x v="0"/>
    <n v="55"/>
    <x v="2"/>
    <x v="1"/>
    <n v="1"/>
    <n v="30"/>
    <n v="30"/>
    <n v="0.44999999999999996"/>
  </r>
  <r>
    <n v="484"/>
    <n v="2023"/>
    <n v="1"/>
    <n v="13"/>
    <m/>
    <d v="2023-01-13T00:00:00"/>
    <s v="CUST484"/>
    <x v="1"/>
    <n v="19"/>
    <x v="1"/>
    <x v="1"/>
    <n v="4"/>
    <n v="300"/>
    <n v="1200"/>
    <n v="18"/>
  </r>
  <r>
    <n v="485"/>
    <n v="2023"/>
    <n v="12"/>
    <n v="4"/>
    <m/>
    <d v="2023-12-04T00:00:00"/>
    <s v="CUST485"/>
    <x v="0"/>
    <n v="24"/>
    <x v="1"/>
    <x v="2"/>
    <n v="1"/>
    <n v="30"/>
    <n v="30"/>
    <n v="0.44999999999999996"/>
  </r>
  <r>
    <n v="486"/>
    <n v="2023"/>
    <n v="4"/>
    <n v="9"/>
    <m/>
    <d v="2023-04-09T00:00:00"/>
    <s v="CUST486"/>
    <x v="1"/>
    <n v="35"/>
    <x v="0"/>
    <x v="2"/>
    <n v="1"/>
    <n v="25"/>
    <n v="25"/>
    <n v="0.375"/>
  </r>
  <r>
    <n v="487"/>
    <n v="2023"/>
    <n v="7"/>
    <n v="24"/>
    <m/>
    <d v="2023-07-24T00:00:00"/>
    <s v="CUST487"/>
    <x v="0"/>
    <n v="44"/>
    <x v="0"/>
    <x v="1"/>
    <n v="4"/>
    <n v="500"/>
    <n v="2000"/>
    <n v="30"/>
  </r>
  <r>
    <n v="488"/>
    <n v="2023"/>
    <n v="6"/>
    <n v="18"/>
    <m/>
    <d v="2023-06-18T00:00:00"/>
    <s v="CUST488"/>
    <x v="1"/>
    <n v="51"/>
    <x v="2"/>
    <x v="2"/>
    <n v="3"/>
    <n v="300"/>
    <n v="900"/>
    <n v="13.5"/>
  </r>
  <r>
    <n v="489"/>
    <n v="2023"/>
    <n v="5"/>
    <n v="23"/>
    <m/>
    <d v="2023-05-23T00:00:00"/>
    <s v="CUST489"/>
    <x v="0"/>
    <n v="44"/>
    <x v="0"/>
    <x v="2"/>
    <n v="1"/>
    <n v="30"/>
    <n v="30"/>
    <n v="0.44999999999999996"/>
  </r>
  <r>
    <n v="490"/>
    <n v="2023"/>
    <n v="2"/>
    <n v="5"/>
    <m/>
    <d v="2023-02-05T00:00:00"/>
    <s v="CUST490"/>
    <x v="0"/>
    <n v="34"/>
    <x v="0"/>
    <x v="1"/>
    <n v="3"/>
    <n v="50"/>
    <n v="150"/>
    <n v="2.25"/>
  </r>
  <r>
    <n v="491"/>
    <n v="2023"/>
    <n v="5"/>
    <n v="23"/>
    <m/>
    <d v="2023-05-23T00:00:00"/>
    <s v="CUST491"/>
    <x v="1"/>
    <n v="60"/>
    <x v="2"/>
    <x v="2"/>
    <n v="3"/>
    <n v="300"/>
    <n v="900"/>
    <n v="13.5"/>
  </r>
  <r>
    <n v="492"/>
    <n v="2023"/>
    <n v="6"/>
    <n v="29"/>
    <m/>
    <d v="2023-06-29T00:00:00"/>
    <s v="CUST492"/>
    <x v="0"/>
    <n v="61"/>
    <x v="2"/>
    <x v="0"/>
    <n v="4"/>
    <n v="25"/>
    <n v="100"/>
    <n v="1.5"/>
  </r>
  <r>
    <n v="493"/>
    <n v="2023"/>
    <n v="11"/>
    <n v="25"/>
    <m/>
    <d v="2023-11-25T00:00:00"/>
    <s v="CUST493"/>
    <x v="0"/>
    <n v="41"/>
    <x v="0"/>
    <x v="0"/>
    <n v="2"/>
    <n v="25"/>
    <n v="50"/>
    <n v="0.75"/>
  </r>
  <r>
    <n v="494"/>
    <n v="2023"/>
    <n v="9"/>
    <n v="18"/>
    <m/>
    <d v="2023-09-18T00:00:00"/>
    <s v="CUST494"/>
    <x v="1"/>
    <n v="42"/>
    <x v="0"/>
    <x v="0"/>
    <n v="4"/>
    <n v="50"/>
    <n v="200"/>
    <n v="3"/>
  </r>
  <r>
    <n v="495"/>
    <n v="2023"/>
    <n v="7"/>
    <n v="24"/>
    <m/>
    <d v="2023-07-24T00:00:00"/>
    <s v="CUST495"/>
    <x v="0"/>
    <n v="24"/>
    <x v="1"/>
    <x v="0"/>
    <n v="2"/>
    <n v="30"/>
    <n v="60"/>
    <n v="0.89999999999999991"/>
  </r>
  <r>
    <n v="496"/>
    <n v="2023"/>
    <n v="12"/>
    <n v="14"/>
    <m/>
    <d v="2023-12-14T00:00:00"/>
    <s v="CUST496"/>
    <x v="0"/>
    <n v="23"/>
    <x v="1"/>
    <x v="1"/>
    <n v="2"/>
    <n v="300"/>
    <n v="600"/>
    <n v="9"/>
  </r>
  <r>
    <n v="497"/>
    <n v="2023"/>
    <n v="10"/>
    <n v="2"/>
    <m/>
    <d v="2023-10-02T00:00:00"/>
    <s v="CUST497"/>
    <x v="0"/>
    <n v="41"/>
    <x v="0"/>
    <x v="1"/>
    <n v="4"/>
    <n v="30"/>
    <n v="120"/>
    <n v="1.7999999999999998"/>
  </r>
  <r>
    <n v="498"/>
    <n v="2023"/>
    <n v="6"/>
    <n v="19"/>
    <m/>
    <d v="2023-06-19T00:00:00"/>
    <s v="CUST498"/>
    <x v="1"/>
    <n v="50"/>
    <x v="2"/>
    <x v="1"/>
    <n v="4"/>
    <n v="25"/>
    <n v="100"/>
    <n v="1.5"/>
  </r>
  <r>
    <n v="499"/>
    <n v="2023"/>
    <n v="1"/>
    <n v="15"/>
    <m/>
    <d v="2023-01-15T00:00:00"/>
    <s v="CUST499"/>
    <x v="0"/>
    <n v="46"/>
    <x v="0"/>
    <x v="0"/>
    <n v="2"/>
    <n v="30"/>
    <n v="60"/>
    <n v="0.89999999999999991"/>
  </r>
  <r>
    <n v="500"/>
    <n v="2023"/>
    <n v="3"/>
    <n v="1"/>
    <m/>
    <d v="2023-03-01T00:00:00"/>
    <s v="CUST500"/>
    <x v="1"/>
    <n v="60"/>
    <x v="2"/>
    <x v="0"/>
    <n v="4"/>
    <n v="25"/>
    <n v="100"/>
    <n v="1.5"/>
  </r>
  <r>
    <n v="501"/>
    <n v="2023"/>
    <n v="5"/>
    <n v="14"/>
    <m/>
    <d v="2023-05-14T00:00:00"/>
    <s v="CUST501"/>
    <x v="0"/>
    <n v="39"/>
    <x v="0"/>
    <x v="2"/>
    <n v="2"/>
    <n v="30"/>
    <n v="60"/>
    <n v="0.89999999999999991"/>
  </r>
  <r>
    <n v="502"/>
    <n v="2023"/>
    <n v="4"/>
    <n v="2"/>
    <m/>
    <d v="2023-04-02T00:00:00"/>
    <s v="CUST502"/>
    <x v="0"/>
    <n v="43"/>
    <x v="0"/>
    <x v="2"/>
    <n v="3"/>
    <n v="50"/>
    <n v="150"/>
    <n v="2.25"/>
  </r>
  <r>
    <n v="503"/>
    <n v="2023"/>
    <n v="10"/>
    <n v="25"/>
    <m/>
    <d v="2023-10-25T00:00:00"/>
    <s v="CUST503"/>
    <x v="0"/>
    <n v="45"/>
    <x v="0"/>
    <x v="0"/>
    <n v="4"/>
    <n v="500"/>
    <n v="2000"/>
    <n v="30"/>
  </r>
  <r>
    <n v="504"/>
    <n v="2023"/>
    <n v="5"/>
    <n v="16"/>
    <m/>
    <d v="2023-05-16T00:00:00"/>
    <s v="CUST504"/>
    <x v="1"/>
    <n v="38"/>
    <x v="0"/>
    <x v="0"/>
    <n v="3"/>
    <n v="50"/>
    <n v="150"/>
    <n v="2.25"/>
  </r>
  <r>
    <n v="505"/>
    <n v="2023"/>
    <n v="1"/>
    <n v="20"/>
    <m/>
    <d v="2023-01-20T00:00:00"/>
    <s v="CUST505"/>
    <x v="0"/>
    <n v="24"/>
    <x v="1"/>
    <x v="0"/>
    <n v="1"/>
    <n v="50"/>
    <n v="50"/>
    <n v="0.75"/>
  </r>
  <r>
    <n v="506"/>
    <n v="2023"/>
    <n v="2"/>
    <n v="25"/>
    <m/>
    <d v="2023-02-25T00:00:00"/>
    <s v="CUST506"/>
    <x v="0"/>
    <n v="34"/>
    <x v="0"/>
    <x v="0"/>
    <n v="3"/>
    <n v="500"/>
    <n v="1500"/>
    <n v="22.5"/>
  </r>
  <r>
    <n v="507"/>
    <n v="2023"/>
    <n v="11"/>
    <n v="2"/>
    <m/>
    <d v="2023-11-02T00:00:00"/>
    <s v="CUST507"/>
    <x v="1"/>
    <n v="37"/>
    <x v="0"/>
    <x v="2"/>
    <n v="3"/>
    <n v="500"/>
    <n v="1500"/>
    <n v="22.5"/>
  </r>
  <r>
    <n v="508"/>
    <n v="2023"/>
    <n v="8"/>
    <n v="11"/>
    <m/>
    <d v="2023-08-11T00:00:00"/>
    <s v="CUST508"/>
    <x v="0"/>
    <n v="58"/>
    <x v="2"/>
    <x v="0"/>
    <n v="2"/>
    <n v="300"/>
    <n v="600"/>
    <n v="9"/>
  </r>
  <r>
    <n v="509"/>
    <n v="2023"/>
    <n v="6"/>
    <n v="26"/>
    <m/>
    <d v="2023-06-26T00:00:00"/>
    <s v="CUST509"/>
    <x v="1"/>
    <n v="37"/>
    <x v="0"/>
    <x v="2"/>
    <n v="3"/>
    <n v="300"/>
    <n v="900"/>
    <n v="13.5"/>
  </r>
  <r>
    <n v="510"/>
    <n v="2023"/>
    <n v="6"/>
    <n v="10"/>
    <m/>
    <d v="2023-06-10T00:00:00"/>
    <s v="CUST510"/>
    <x v="1"/>
    <n v="39"/>
    <x v="0"/>
    <x v="0"/>
    <n v="4"/>
    <n v="50"/>
    <n v="200"/>
    <n v="3"/>
  </r>
  <r>
    <n v="511"/>
    <n v="2023"/>
    <n v="8"/>
    <n v="12"/>
    <m/>
    <d v="2023-08-12T00:00:00"/>
    <s v="CUST511"/>
    <x v="0"/>
    <n v="45"/>
    <x v="0"/>
    <x v="0"/>
    <n v="2"/>
    <n v="50"/>
    <n v="100"/>
    <n v="1.5"/>
  </r>
  <r>
    <n v="512"/>
    <n v="2023"/>
    <n v="11"/>
    <n v="7"/>
    <m/>
    <d v="2023-11-07T00:00:00"/>
    <s v="CUST512"/>
    <x v="1"/>
    <n v="57"/>
    <x v="2"/>
    <x v="0"/>
    <n v="1"/>
    <n v="25"/>
    <n v="25"/>
    <n v="0.375"/>
  </r>
  <r>
    <n v="513"/>
    <n v="2023"/>
    <n v="9"/>
    <n v="19"/>
    <m/>
    <d v="2023-09-19T00:00:00"/>
    <s v="CUST513"/>
    <x v="0"/>
    <n v="24"/>
    <x v="1"/>
    <x v="2"/>
    <n v="4"/>
    <n v="25"/>
    <n v="100"/>
    <n v="1.5"/>
  </r>
  <r>
    <n v="514"/>
    <n v="2023"/>
    <n v="3"/>
    <n v="1"/>
    <m/>
    <d v="2023-03-01T00:00:00"/>
    <s v="CUST514"/>
    <x v="1"/>
    <n v="18"/>
    <x v="1"/>
    <x v="2"/>
    <n v="1"/>
    <n v="300"/>
    <n v="300"/>
    <n v="4.5"/>
  </r>
  <r>
    <n v="515"/>
    <n v="2023"/>
    <n v="7"/>
    <n v="17"/>
    <m/>
    <d v="2023-07-17T00:00:00"/>
    <s v="CUST515"/>
    <x v="1"/>
    <n v="49"/>
    <x v="0"/>
    <x v="1"/>
    <n v="3"/>
    <n v="300"/>
    <n v="900"/>
    <n v="13.5"/>
  </r>
  <r>
    <n v="516"/>
    <n v="2023"/>
    <n v="10"/>
    <n v="23"/>
    <m/>
    <d v="2023-10-23T00:00:00"/>
    <s v="CUST516"/>
    <x v="0"/>
    <n v="30"/>
    <x v="0"/>
    <x v="0"/>
    <n v="4"/>
    <n v="25"/>
    <n v="100"/>
    <n v="1.5"/>
  </r>
  <r>
    <n v="517"/>
    <n v="2023"/>
    <n v="4"/>
    <n v="8"/>
    <m/>
    <d v="2023-04-08T00:00:00"/>
    <s v="CUST517"/>
    <x v="1"/>
    <n v="47"/>
    <x v="0"/>
    <x v="1"/>
    <n v="4"/>
    <n v="25"/>
    <n v="100"/>
    <n v="1.5"/>
  </r>
  <r>
    <n v="518"/>
    <n v="2023"/>
    <n v="5"/>
    <n v="11"/>
    <m/>
    <d v="2023-05-11T00:00:00"/>
    <s v="CUST518"/>
    <x v="1"/>
    <n v="40"/>
    <x v="0"/>
    <x v="1"/>
    <n v="1"/>
    <n v="30"/>
    <n v="30"/>
    <n v="0.44999999999999996"/>
  </r>
  <r>
    <n v="519"/>
    <n v="2023"/>
    <n v="1"/>
    <n v="23"/>
    <m/>
    <d v="2023-01-23T00:00:00"/>
    <s v="CUST519"/>
    <x v="1"/>
    <n v="36"/>
    <x v="0"/>
    <x v="2"/>
    <n v="4"/>
    <n v="30"/>
    <n v="120"/>
    <n v="1.7999999999999998"/>
  </r>
  <r>
    <n v="520"/>
    <n v="2023"/>
    <n v="12"/>
    <n v="29"/>
    <m/>
    <d v="2023-12-29T00:00:00"/>
    <s v="CUST520"/>
    <x v="1"/>
    <n v="49"/>
    <x v="0"/>
    <x v="2"/>
    <n v="4"/>
    <n v="25"/>
    <n v="100"/>
    <n v="1.5"/>
  </r>
  <r>
    <n v="521"/>
    <n v="2023"/>
    <n v="8"/>
    <n v="12"/>
    <m/>
    <d v="2023-08-12T00:00:00"/>
    <s v="CUST521"/>
    <x v="1"/>
    <n v="47"/>
    <x v="0"/>
    <x v="1"/>
    <n v="4"/>
    <n v="30"/>
    <n v="120"/>
    <n v="1.7999999999999998"/>
  </r>
  <r>
    <n v="522"/>
    <n v="2023"/>
    <n v="1"/>
    <n v="1"/>
    <m/>
    <d v="2023-01-01T00:00:00"/>
    <s v="CUST522"/>
    <x v="0"/>
    <n v="46"/>
    <x v="0"/>
    <x v="0"/>
    <n v="3"/>
    <n v="500"/>
    <n v="1500"/>
    <n v="22.5"/>
  </r>
  <r>
    <n v="523"/>
    <n v="2023"/>
    <n v="9"/>
    <n v="24"/>
    <m/>
    <d v="2023-09-24T00:00:00"/>
    <s v="CUST523"/>
    <x v="1"/>
    <n v="62"/>
    <x v="2"/>
    <x v="2"/>
    <n v="1"/>
    <n v="300"/>
    <n v="300"/>
    <n v="4.5"/>
  </r>
  <r>
    <n v="524"/>
    <n v="2023"/>
    <n v="10"/>
    <n v="3"/>
    <m/>
    <d v="2023-10-03T00:00:00"/>
    <s v="CUST524"/>
    <x v="0"/>
    <n v="46"/>
    <x v="0"/>
    <x v="0"/>
    <n v="4"/>
    <n v="300"/>
    <n v="1200"/>
    <n v="18"/>
  </r>
  <r>
    <n v="525"/>
    <n v="2023"/>
    <n v="12"/>
    <n v="18"/>
    <m/>
    <d v="2023-12-18T00:00:00"/>
    <s v="CUST525"/>
    <x v="1"/>
    <n v="47"/>
    <x v="0"/>
    <x v="0"/>
    <n v="2"/>
    <n v="25"/>
    <n v="50"/>
    <n v="0.75"/>
  </r>
  <r>
    <n v="526"/>
    <n v="2023"/>
    <n v="12"/>
    <n v="10"/>
    <m/>
    <d v="2023-12-10T00:00:00"/>
    <s v="CUST526"/>
    <x v="0"/>
    <n v="33"/>
    <x v="0"/>
    <x v="1"/>
    <n v="2"/>
    <n v="50"/>
    <n v="100"/>
    <n v="1.5"/>
  </r>
  <r>
    <n v="527"/>
    <n v="2023"/>
    <n v="4"/>
    <n v="11"/>
    <m/>
    <d v="2023-04-11T00:00:00"/>
    <s v="CUST527"/>
    <x v="0"/>
    <n v="57"/>
    <x v="2"/>
    <x v="1"/>
    <n v="2"/>
    <n v="25"/>
    <n v="50"/>
    <n v="0.75"/>
  </r>
  <r>
    <n v="528"/>
    <n v="2023"/>
    <n v="7"/>
    <n v="6"/>
    <m/>
    <d v="2023-07-06T00:00:00"/>
    <s v="CUST528"/>
    <x v="1"/>
    <n v="36"/>
    <x v="0"/>
    <x v="1"/>
    <n v="2"/>
    <n v="30"/>
    <n v="60"/>
    <n v="0.89999999999999991"/>
  </r>
  <r>
    <n v="529"/>
    <n v="2023"/>
    <n v="8"/>
    <n v="9"/>
    <m/>
    <d v="2023-08-09T00:00:00"/>
    <s v="CUST529"/>
    <x v="1"/>
    <n v="35"/>
    <x v="0"/>
    <x v="1"/>
    <n v="3"/>
    <n v="50"/>
    <n v="150"/>
    <n v="2.25"/>
  </r>
  <r>
    <n v="530"/>
    <n v="2023"/>
    <n v="2"/>
    <n v="5"/>
    <m/>
    <d v="2023-02-05T00:00:00"/>
    <s v="CUST530"/>
    <x v="1"/>
    <n v="18"/>
    <x v="1"/>
    <x v="2"/>
    <n v="4"/>
    <n v="30"/>
    <n v="120"/>
    <n v="1.7999999999999998"/>
  </r>
  <r>
    <n v="531"/>
    <n v="2023"/>
    <n v="12"/>
    <n v="7"/>
    <m/>
    <d v="2023-12-07T00:00:00"/>
    <s v="CUST531"/>
    <x v="0"/>
    <n v="31"/>
    <x v="0"/>
    <x v="2"/>
    <n v="1"/>
    <n v="500"/>
    <n v="500"/>
    <n v="7.5"/>
  </r>
  <r>
    <n v="532"/>
    <n v="2023"/>
    <n v="6"/>
    <n v="19"/>
    <m/>
    <d v="2023-06-19T00:00:00"/>
    <s v="CUST532"/>
    <x v="1"/>
    <n v="64"/>
    <x v="2"/>
    <x v="1"/>
    <n v="4"/>
    <n v="30"/>
    <n v="120"/>
    <n v="1.7999999999999998"/>
  </r>
  <r>
    <n v="533"/>
    <n v="2023"/>
    <n v="11"/>
    <n v="16"/>
    <m/>
    <d v="2023-11-16T00:00:00"/>
    <s v="CUST533"/>
    <x v="0"/>
    <n v="19"/>
    <x v="1"/>
    <x v="2"/>
    <n v="3"/>
    <n v="500"/>
    <n v="1500"/>
    <n v="22.5"/>
  </r>
  <r>
    <n v="534"/>
    <n v="2023"/>
    <n v="6"/>
    <n v="10"/>
    <m/>
    <d v="2023-06-10T00:00:00"/>
    <s v="CUST534"/>
    <x v="0"/>
    <n v="45"/>
    <x v="0"/>
    <x v="1"/>
    <n v="2"/>
    <n v="500"/>
    <n v="1000"/>
    <n v="15"/>
  </r>
  <r>
    <n v="535"/>
    <n v="2023"/>
    <n v="12"/>
    <n v="6"/>
    <m/>
    <d v="2023-12-06T00:00:00"/>
    <s v="CUST535"/>
    <x v="0"/>
    <n v="47"/>
    <x v="0"/>
    <x v="0"/>
    <n v="3"/>
    <n v="30"/>
    <n v="90"/>
    <n v="1.3499999999999999"/>
  </r>
  <r>
    <n v="536"/>
    <n v="2023"/>
    <n v="3"/>
    <n v="5"/>
    <m/>
    <d v="2023-03-05T00:00:00"/>
    <s v="CUST536"/>
    <x v="1"/>
    <n v="55"/>
    <x v="2"/>
    <x v="0"/>
    <n v="4"/>
    <n v="30"/>
    <n v="120"/>
    <n v="1.7999999999999998"/>
  </r>
  <r>
    <n v="537"/>
    <n v="2023"/>
    <n v="6"/>
    <n v="3"/>
    <m/>
    <d v="2023-06-03T00:00:00"/>
    <s v="CUST537"/>
    <x v="1"/>
    <n v="21"/>
    <x v="1"/>
    <x v="0"/>
    <n v="1"/>
    <n v="500"/>
    <n v="500"/>
    <n v="7.5"/>
  </r>
  <r>
    <n v="538"/>
    <n v="2023"/>
    <n v="9"/>
    <n v="17"/>
    <m/>
    <d v="2023-09-17T00:00:00"/>
    <s v="CUST538"/>
    <x v="0"/>
    <n v="18"/>
    <x v="1"/>
    <x v="1"/>
    <n v="3"/>
    <n v="50"/>
    <n v="150"/>
    <n v="2.25"/>
  </r>
  <r>
    <n v="539"/>
    <n v="2023"/>
    <n v="6"/>
    <n v="8"/>
    <m/>
    <d v="2023-06-08T00:00:00"/>
    <s v="CUST539"/>
    <x v="0"/>
    <n v="25"/>
    <x v="1"/>
    <x v="0"/>
    <n v="1"/>
    <n v="500"/>
    <n v="500"/>
    <n v="7.5"/>
  </r>
  <r>
    <n v="540"/>
    <n v="2023"/>
    <n v="12"/>
    <n v="8"/>
    <m/>
    <d v="2023-12-08T00:00:00"/>
    <s v="CUST540"/>
    <x v="1"/>
    <n v="46"/>
    <x v="0"/>
    <x v="2"/>
    <n v="3"/>
    <n v="300"/>
    <n v="900"/>
    <n v="13.5"/>
  </r>
  <r>
    <n v="541"/>
    <n v="2023"/>
    <n v="7"/>
    <n v="29"/>
    <m/>
    <d v="2023-07-29T00:00:00"/>
    <s v="CUST541"/>
    <x v="0"/>
    <n v="56"/>
    <x v="2"/>
    <x v="0"/>
    <n v="1"/>
    <n v="500"/>
    <n v="500"/>
    <n v="7.5"/>
  </r>
  <r>
    <n v="542"/>
    <n v="2023"/>
    <n v="6"/>
    <n v="17"/>
    <m/>
    <d v="2023-06-17T00:00:00"/>
    <s v="CUST542"/>
    <x v="1"/>
    <n v="20"/>
    <x v="1"/>
    <x v="0"/>
    <n v="1"/>
    <n v="50"/>
    <n v="50"/>
    <n v="0.75"/>
  </r>
  <r>
    <n v="543"/>
    <n v="2023"/>
    <n v="7"/>
    <n v="26"/>
    <m/>
    <d v="2023-07-26T00:00:00"/>
    <s v="CUST543"/>
    <x v="0"/>
    <n v="49"/>
    <x v="0"/>
    <x v="0"/>
    <n v="2"/>
    <n v="300"/>
    <n v="600"/>
    <n v="9"/>
  </r>
  <r>
    <n v="544"/>
    <n v="2023"/>
    <n v="12"/>
    <n v="23"/>
    <m/>
    <d v="2023-12-23T00:00:00"/>
    <s v="CUST544"/>
    <x v="1"/>
    <n v="27"/>
    <x v="1"/>
    <x v="2"/>
    <n v="1"/>
    <n v="25"/>
    <n v="25"/>
    <n v="0.375"/>
  </r>
  <r>
    <n v="545"/>
    <n v="2023"/>
    <n v="6"/>
    <n v="1"/>
    <m/>
    <d v="2023-06-01T00:00:00"/>
    <s v="CUST545"/>
    <x v="0"/>
    <n v="27"/>
    <x v="1"/>
    <x v="1"/>
    <n v="2"/>
    <n v="25"/>
    <n v="50"/>
    <n v="0.75"/>
  </r>
  <r>
    <n v="546"/>
    <n v="2023"/>
    <n v="10"/>
    <n v="11"/>
    <m/>
    <d v="2023-10-11T00:00:00"/>
    <s v="CUST546"/>
    <x v="1"/>
    <n v="36"/>
    <x v="0"/>
    <x v="2"/>
    <n v="4"/>
    <n v="50"/>
    <n v="200"/>
    <n v="3"/>
  </r>
  <r>
    <n v="547"/>
    <n v="2023"/>
    <n v="3"/>
    <n v="7"/>
    <m/>
    <d v="2023-03-07T00:00:00"/>
    <s v="CUST547"/>
    <x v="0"/>
    <n v="63"/>
    <x v="2"/>
    <x v="1"/>
    <n v="4"/>
    <n v="500"/>
    <n v="2000"/>
    <n v="30"/>
  </r>
  <r>
    <n v="548"/>
    <n v="2023"/>
    <n v="4"/>
    <n v="9"/>
    <m/>
    <d v="2023-04-09T00:00:00"/>
    <s v="CUST548"/>
    <x v="1"/>
    <n v="51"/>
    <x v="2"/>
    <x v="1"/>
    <n v="2"/>
    <n v="30"/>
    <n v="60"/>
    <n v="0.89999999999999991"/>
  </r>
  <r>
    <n v="549"/>
    <n v="2023"/>
    <n v="8"/>
    <n v="4"/>
    <m/>
    <d v="2023-08-04T00:00:00"/>
    <s v="CUST549"/>
    <x v="1"/>
    <n v="50"/>
    <x v="2"/>
    <x v="0"/>
    <n v="2"/>
    <n v="50"/>
    <n v="100"/>
    <n v="1.5"/>
  </r>
  <r>
    <n v="550"/>
    <n v="2023"/>
    <n v="12"/>
    <n v="7"/>
    <m/>
    <d v="2023-12-07T00:00:00"/>
    <s v="CUST550"/>
    <x v="0"/>
    <n v="40"/>
    <x v="0"/>
    <x v="1"/>
    <n v="3"/>
    <n v="300"/>
    <n v="900"/>
    <n v="13.5"/>
  </r>
  <r>
    <n v="551"/>
    <n v="2023"/>
    <n v="7"/>
    <n v="14"/>
    <m/>
    <d v="2023-07-14T00:00:00"/>
    <s v="CUST551"/>
    <x v="0"/>
    <n v="45"/>
    <x v="0"/>
    <x v="2"/>
    <n v="3"/>
    <n v="300"/>
    <n v="900"/>
    <n v="13.5"/>
  </r>
  <r>
    <n v="552"/>
    <n v="2023"/>
    <n v="12"/>
    <n v="13"/>
    <m/>
    <d v="2023-12-13T00:00:00"/>
    <s v="CUST552"/>
    <x v="1"/>
    <n v="49"/>
    <x v="0"/>
    <x v="2"/>
    <n v="3"/>
    <n v="25"/>
    <n v="75"/>
    <n v="1.125"/>
  </r>
  <r>
    <n v="553"/>
    <n v="2023"/>
    <n v="3"/>
    <n v="31"/>
    <m/>
    <d v="2023-03-31T00:00:00"/>
    <s v="CUST553"/>
    <x v="0"/>
    <n v="24"/>
    <x v="1"/>
    <x v="1"/>
    <n v="4"/>
    <n v="300"/>
    <n v="1200"/>
    <n v="18"/>
  </r>
  <r>
    <n v="554"/>
    <n v="2023"/>
    <n v="11"/>
    <n v="12"/>
    <m/>
    <d v="2023-11-12T00:00:00"/>
    <s v="CUST554"/>
    <x v="1"/>
    <n v="46"/>
    <x v="0"/>
    <x v="0"/>
    <n v="3"/>
    <n v="50"/>
    <n v="150"/>
    <n v="2.25"/>
  </r>
  <r>
    <n v="555"/>
    <n v="2023"/>
    <n v="10"/>
    <n v="19"/>
    <m/>
    <d v="2023-10-19T00:00:00"/>
    <s v="CUST555"/>
    <x v="0"/>
    <n v="25"/>
    <x v="1"/>
    <x v="0"/>
    <n v="1"/>
    <n v="300"/>
    <n v="300"/>
    <n v="4.5"/>
  </r>
  <r>
    <n v="556"/>
    <n v="2023"/>
    <n v="6"/>
    <n v="4"/>
    <m/>
    <d v="2023-06-04T00:00:00"/>
    <s v="CUST556"/>
    <x v="1"/>
    <n v="18"/>
    <x v="1"/>
    <x v="2"/>
    <n v="1"/>
    <n v="50"/>
    <n v="50"/>
    <n v="0.75"/>
  </r>
  <r>
    <n v="557"/>
    <n v="2023"/>
    <n v="7"/>
    <n v="27"/>
    <m/>
    <d v="2023-07-27T00:00:00"/>
    <s v="CUST557"/>
    <x v="1"/>
    <n v="20"/>
    <x v="1"/>
    <x v="0"/>
    <n v="3"/>
    <n v="30"/>
    <n v="90"/>
    <n v="1.3499999999999999"/>
  </r>
  <r>
    <n v="558"/>
    <n v="2023"/>
    <n v="10"/>
    <n v="8"/>
    <m/>
    <d v="2023-10-08T00:00:00"/>
    <s v="CUST558"/>
    <x v="1"/>
    <n v="41"/>
    <x v="0"/>
    <x v="1"/>
    <n v="1"/>
    <n v="25"/>
    <n v="25"/>
    <n v="0.375"/>
  </r>
  <r>
    <n v="559"/>
    <n v="2023"/>
    <n v="1"/>
    <n v="1"/>
    <m/>
    <d v="2023-01-01T00:00:00"/>
    <s v="CUST559"/>
    <x v="1"/>
    <n v="40"/>
    <x v="0"/>
    <x v="1"/>
    <n v="4"/>
    <n v="300"/>
    <n v="1200"/>
    <n v="18"/>
  </r>
  <r>
    <n v="560"/>
    <n v="2023"/>
    <n v="6"/>
    <n v="5"/>
    <m/>
    <d v="2023-06-05T00:00:00"/>
    <s v="CUST560"/>
    <x v="1"/>
    <n v="25"/>
    <x v="1"/>
    <x v="2"/>
    <n v="1"/>
    <n v="50"/>
    <n v="50"/>
    <n v="0.75"/>
  </r>
  <r>
    <n v="561"/>
    <n v="2023"/>
    <n v="5"/>
    <n v="27"/>
    <m/>
    <d v="2023-05-27T00:00:00"/>
    <s v="CUST561"/>
    <x v="1"/>
    <n v="64"/>
    <x v="2"/>
    <x v="1"/>
    <n v="4"/>
    <n v="500"/>
    <n v="2000"/>
    <n v="30"/>
  </r>
  <r>
    <n v="562"/>
    <n v="2023"/>
    <n v="4"/>
    <n v="18"/>
    <m/>
    <d v="2023-04-18T00:00:00"/>
    <s v="CUST562"/>
    <x v="0"/>
    <n v="54"/>
    <x v="2"/>
    <x v="2"/>
    <n v="2"/>
    <n v="25"/>
    <n v="50"/>
    <n v="0.75"/>
  </r>
  <r>
    <n v="563"/>
    <n v="2023"/>
    <n v="8"/>
    <n v="9"/>
    <m/>
    <d v="2023-08-09T00:00:00"/>
    <s v="CUST563"/>
    <x v="0"/>
    <n v="20"/>
    <x v="1"/>
    <x v="1"/>
    <n v="2"/>
    <n v="30"/>
    <n v="60"/>
    <n v="0.89999999999999991"/>
  </r>
  <r>
    <n v="564"/>
    <n v="2023"/>
    <n v="10"/>
    <n v="24"/>
    <m/>
    <d v="2023-10-24T00:00:00"/>
    <s v="CUST564"/>
    <x v="0"/>
    <n v="50"/>
    <x v="2"/>
    <x v="2"/>
    <n v="2"/>
    <n v="50"/>
    <n v="100"/>
    <n v="1.5"/>
  </r>
  <r>
    <n v="565"/>
    <n v="2023"/>
    <n v="11"/>
    <n v="7"/>
    <m/>
    <d v="2023-11-07T00:00:00"/>
    <s v="CUST565"/>
    <x v="1"/>
    <n v="45"/>
    <x v="0"/>
    <x v="0"/>
    <n v="2"/>
    <n v="30"/>
    <n v="60"/>
    <n v="0.89999999999999991"/>
  </r>
  <r>
    <n v="566"/>
    <n v="2023"/>
    <n v="12"/>
    <n v="2"/>
    <m/>
    <d v="2023-12-02T00:00:00"/>
    <s v="CUST566"/>
    <x v="1"/>
    <n v="64"/>
    <x v="2"/>
    <x v="1"/>
    <n v="1"/>
    <n v="30"/>
    <n v="30"/>
    <n v="0.44999999999999996"/>
  </r>
  <r>
    <n v="567"/>
    <n v="2023"/>
    <n v="6"/>
    <n v="14"/>
    <m/>
    <d v="2023-06-14T00:00:00"/>
    <s v="CUST567"/>
    <x v="1"/>
    <n v="25"/>
    <x v="1"/>
    <x v="1"/>
    <n v="3"/>
    <n v="300"/>
    <n v="900"/>
    <n v="13.5"/>
  </r>
  <r>
    <n v="568"/>
    <n v="2023"/>
    <n v="8"/>
    <n v="27"/>
    <m/>
    <d v="2023-08-27T00:00:00"/>
    <s v="CUST568"/>
    <x v="1"/>
    <n v="51"/>
    <x v="2"/>
    <x v="2"/>
    <n v="1"/>
    <n v="300"/>
    <n v="300"/>
    <n v="4.5"/>
  </r>
  <r>
    <n v="569"/>
    <n v="2023"/>
    <n v="8"/>
    <n v="15"/>
    <m/>
    <d v="2023-08-15T00:00:00"/>
    <s v="CUST569"/>
    <x v="0"/>
    <n v="52"/>
    <x v="2"/>
    <x v="2"/>
    <n v="4"/>
    <n v="50"/>
    <n v="200"/>
    <n v="3"/>
  </r>
  <r>
    <n v="570"/>
    <n v="2023"/>
    <n v="8"/>
    <n v="15"/>
    <m/>
    <d v="2023-08-15T00:00:00"/>
    <s v="CUST570"/>
    <x v="0"/>
    <n v="49"/>
    <x v="0"/>
    <x v="1"/>
    <n v="1"/>
    <n v="500"/>
    <n v="500"/>
    <n v="7.5"/>
  </r>
  <r>
    <n v="571"/>
    <n v="2023"/>
    <n v="12"/>
    <n v="12"/>
    <m/>
    <d v="2023-12-12T00:00:00"/>
    <s v="CUST571"/>
    <x v="1"/>
    <n v="41"/>
    <x v="0"/>
    <x v="2"/>
    <n v="1"/>
    <n v="50"/>
    <n v="50"/>
    <n v="0.75"/>
  </r>
  <r>
    <n v="572"/>
    <n v="2023"/>
    <n v="4"/>
    <n v="20"/>
    <m/>
    <d v="2023-04-20T00:00:00"/>
    <s v="CUST572"/>
    <x v="0"/>
    <n v="31"/>
    <x v="0"/>
    <x v="1"/>
    <n v="4"/>
    <n v="500"/>
    <n v="2000"/>
    <n v="30"/>
  </r>
  <r>
    <n v="573"/>
    <n v="2023"/>
    <n v="9"/>
    <n v="19"/>
    <m/>
    <d v="2023-09-19T00:00:00"/>
    <s v="CUST573"/>
    <x v="0"/>
    <n v="49"/>
    <x v="0"/>
    <x v="0"/>
    <n v="2"/>
    <n v="30"/>
    <n v="60"/>
    <n v="0.89999999999999991"/>
  </r>
  <r>
    <n v="574"/>
    <n v="2023"/>
    <n v="8"/>
    <n v="31"/>
    <m/>
    <d v="2023-08-31T00:00:00"/>
    <s v="CUST574"/>
    <x v="1"/>
    <n v="63"/>
    <x v="2"/>
    <x v="2"/>
    <n v="2"/>
    <n v="25"/>
    <n v="50"/>
    <n v="0.75"/>
  </r>
  <r>
    <n v="575"/>
    <n v="2023"/>
    <n v="3"/>
    <n v="28"/>
    <m/>
    <d v="2023-03-28T00:00:00"/>
    <s v="CUST575"/>
    <x v="0"/>
    <n v="60"/>
    <x v="2"/>
    <x v="1"/>
    <n v="2"/>
    <n v="50"/>
    <n v="100"/>
    <n v="1.5"/>
  </r>
  <r>
    <n v="576"/>
    <n v="2023"/>
    <n v="12"/>
    <n v="4"/>
    <m/>
    <d v="2023-12-04T00:00:00"/>
    <s v="CUST576"/>
    <x v="1"/>
    <n v="33"/>
    <x v="0"/>
    <x v="0"/>
    <n v="3"/>
    <n v="50"/>
    <n v="150"/>
    <n v="2.25"/>
  </r>
  <r>
    <n v="577"/>
    <n v="2023"/>
    <n v="2"/>
    <n v="13"/>
    <m/>
    <d v="2023-02-13T00:00:00"/>
    <s v="CUST577"/>
    <x v="0"/>
    <n v="21"/>
    <x v="1"/>
    <x v="0"/>
    <n v="4"/>
    <n v="500"/>
    <n v="2000"/>
    <n v="30"/>
  </r>
  <r>
    <n v="578"/>
    <n v="2023"/>
    <n v="5"/>
    <n v="26"/>
    <m/>
    <d v="2023-05-26T00:00:00"/>
    <s v="CUST578"/>
    <x v="1"/>
    <n v="54"/>
    <x v="2"/>
    <x v="1"/>
    <n v="4"/>
    <n v="30"/>
    <n v="120"/>
    <n v="1.7999999999999998"/>
  </r>
  <r>
    <n v="579"/>
    <n v="2023"/>
    <n v="9"/>
    <n v="21"/>
    <m/>
    <d v="2023-09-21T00:00:00"/>
    <s v="CUST579"/>
    <x v="1"/>
    <n v="38"/>
    <x v="0"/>
    <x v="2"/>
    <n v="1"/>
    <n v="30"/>
    <n v="30"/>
    <n v="0.44999999999999996"/>
  </r>
  <r>
    <n v="580"/>
    <n v="2023"/>
    <n v="12"/>
    <n v="6"/>
    <m/>
    <d v="2023-12-06T00:00:00"/>
    <s v="CUST580"/>
    <x v="1"/>
    <n v="31"/>
    <x v="0"/>
    <x v="1"/>
    <n v="3"/>
    <n v="500"/>
    <n v="1500"/>
    <n v="22.5"/>
  </r>
  <r>
    <n v="581"/>
    <n v="2023"/>
    <n v="11"/>
    <n v="21"/>
    <m/>
    <d v="2023-11-21T00:00:00"/>
    <s v="CUST581"/>
    <x v="1"/>
    <n v="48"/>
    <x v="0"/>
    <x v="0"/>
    <n v="2"/>
    <n v="30"/>
    <n v="60"/>
    <n v="0.89999999999999991"/>
  </r>
  <r>
    <n v="582"/>
    <n v="2023"/>
    <n v="11"/>
    <n v="14"/>
    <m/>
    <d v="2023-11-14T00:00:00"/>
    <s v="CUST582"/>
    <x v="0"/>
    <n v="35"/>
    <x v="0"/>
    <x v="1"/>
    <n v="3"/>
    <n v="300"/>
    <n v="900"/>
    <n v="13.5"/>
  </r>
  <r>
    <n v="583"/>
    <n v="2023"/>
    <n v="6"/>
    <n v="21"/>
    <m/>
    <d v="2023-06-21T00:00:00"/>
    <s v="CUST583"/>
    <x v="1"/>
    <n v="24"/>
    <x v="1"/>
    <x v="2"/>
    <n v="4"/>
    <n v="25"/>
    <n v="100"/>
    <n v="1.5"/>
  </r>
  <r>
    <n v="584"/>
    <n v="2023"/>
    <n v="2"/>
    <n v="17"/>
    <m/>
    <d v="2023-02-17T00:00:00"/>
    <s v="CUST584"/>
    <x v="1"/>
    <n v="27"/>
    <x v="1"/>
    <x v="0"/>
    <n v="4"/>
    <n v="50"/>
    <n v="200"/>
    <n v="3"/>
  </r>
  <r>
    <n v="585"/>
    <n v="2023"/>
    <n v="5"/>
    <n v="1"/>
    <m/>
    <d v="2023-05-01T00:00:00"/>
    <s v="CUST585"/>
    <x v="1"/>
    <n v="24"/>
    <x v="1"/>
    <x v="1"/>
    <n v="1"/>
    <n v="25"/>
    <n v="25"/>
    <n v="0.375"/>
  </r>
  <r>
    <n v="586"/>
    <n v="2023"/>
    <n v="12"/>
    <n v="11"/>
    <m/>
    <d v="2023-12-11T00:00:00"/>
    <s v="CUST586"/>
    <x v="0"/>
    <n v="50"/>
    <x v="2"/>
    <x v="2"/>
    <n v="1"/>
    <n v="50"/>
    <n v="50"/>
    <n v="0.75"/>
  </r>
  <r>
    <n v="587"/>
    <n v="2023"/>
    <n v="6"/>
    <n v="8"/>
    <m/>
    <d v="2023-06-08T00:00:00"/>
    <s v="CUST587"/>
    <x v="1"/>
    <n v="40"/>
    <x v="0"/>
    <x v="0"/>
    <n v="4"/>
    <n v="300"/>
    <n v="1200"/>
    <n v="18"/>
  </r>
  <r>
    <n v="588"/>
    <n v="2023"/>
    <n v="4"/>
    <n v="26"/>
    <m/>
    <d v="2023-04-26T00:00:00"/>
    <s v="CUST588"/>
    <x v="0"/>
    <n v="38"/>
    <x v="0"/>
    <x v="2"/>
    <n v="2"/>
    <n v="30"/>
    <n v="60"/>
    <n v="0.89999999999999991"/>
  </r>
  <r>
    <n v="589"/>
    <n v="2023"/>
    <n v="4"/>
    <n v="12"/>
    <m/>
    <d v="2023-04-12T00:00:00"/>
    <s v="CUST589"/>
    <x v="1"/>
    <n v="36"/>
    <x v="0"/>
    <x v="0"/>
    <n v="2"/>
    <n v="500"/>
    <n v="1000"/>
    <n v="15"/>
  </r>
  <r>
    <n v="590"/>
    <n v="2023"/>
    <n v="3"/>
    <n v="17"/>
    <m/>
    <d v="2023-03-17T00:00:00"/>
    <s v="CUST590"/>
    <x v="0"/>
    <n v="36"/>
    <x v="0"/>
    <x v="1"/>
    <n v="3"/>
    <n v="300"/>
    <n v="900"/>
    <n v="13.5"/>
  </r>
  <r>
    <n v="591"/>
    <n v="2023"/>
    <n v="1"/>
    <n v="13"/>
    <m/>
    <d v="2023-01-13T00:00:00"/>
    <s v="CUST591"/>
    <x v="0"/>
    <n v="53"/>
    <x v="2"/>
    <x v="2"/>
    <n v="4"/>
    <n v="25"/>
    <n v="100"/>
    <n v="1.5"/>
  </r>
  <r>
    <n v="592"/>
    <n v="2023"/>
    <n v="1"/>
    <n v="24"/>
    <m/>
    <d v="2023-01-24T00:00:00"/>
    <s v="CUST592"/>
    <x v="1"/>
    <n v="46"/>
    <x v="0"/>
    <x v="0"/>
    <n v="4"/>
    <n v="500"/>
    <n v="2000"/>
    <n v="30"/>
  </r>
  <r>
    <n v="593"/>
    <n v="2023"/>
    <n v="5"/>
    <n v="6"/>
    <m/>
    <d v="2023-05-06T00:00:00"/>
    <s v="CUST593"/>
    <x v="0"/>
    <n v="35"/>
    <x v="0"/>
    <x v="2"/>
    <n v="2"/>
    <n v="30"/>
    <n v="60"/>
    <n v="0.89999999999999991"/>
  </r>
  <r>
    <n v="594"/>
    <n v="2023"/>
    <n v="9"/>
    <n v="1"/>
    <m/>
    <d v="2023-09-01T00:00:00"/>
    <s v="CUST594"/>
    <x v="1"/>
    <n v="19"/>
    <x v="1"/>
    <x v="2"/>
    <n v="2"/>
    <n v="300"/>
    <n v="600"/>
    <n v="9"/>
  </r>
  <r>
    <n v="595"/>
    <n v="2023"/>
    <n v="11"/>
    <n v="9"/>
    <m/>
    <d v="2023-11-09T00:00:00"/>
    <s v="CUST595"/>
    <x v="1"/>
    <n v="18"/>
    <x v="1"/>
    <x v="1"/>
    <n v="4"/>
    <n v="500"/>
    <n v="2000"/>
    <n v="30"/>
  </r>
  <r>
    <n v="596"/>
    <n v="2023"/>
    <n v="2"/>
    <n v="7"/>
    <m/>
    <d v="2023-02-07T00:00:00"/>
    <s v="CUST596"/>
    <x v="1"/>
    <n v="64"/>
    <x v="2"/>
    <x v="2"/>
    <n v="1"/>
    <n v="300"/>
    <n v="300"/>
    <n v="4.5"/>
  </r>
  <r>
    <n v="597"/>
    <n v="2023"/>
    <n v="8"/>
    <n v="22"/>
    <m/>
    <d v="2023-08-22T00:00:00"/>
    <s v="CUST597"/>
    <x v="0"/>
    <n v="22"/>
    <x v="1"/>
    <x v="0"/>
    <n v="4"/>
    <n v="300"/>
    <n v="1200"/>
    <n v="18"/>
  </r>
  <r>
    <n v="598"/>
    <n v="2023"/>
    <n v="8"/>
    <n v="1"/>
    <m/>
    <d v="2023-08-01T00:00:00"/>
    <s v="CUST598"/>
    <x v="0"/>
    <n v="37"/>
    <x v="0"/>
    <x v="0"/>
    <n v="4"/>
    <n v="30"/>
    <n v="120"/>
    <n v="1.7999999999999998"/>
  </r>
  <r>
    <n v="599"/>
    <n v="2023"/>
    <n v="11"/>
    <n v="19"/>
    <m/>
    <d v="2023-11-19T00:00:00"/>
    <s v="CUST599"/>
    <x v="1"/>
    <n v="28"/>
    <x v="1"/>
    <x v="0"/>
    <n v="2"/>
    <n v="50"/>
    <n v="100"/>
    <n v="1.5"/>
  </r>
  <r>
    <n v="600"/>
    <n v="2023"/>
    <n v="10"/>
    <n v="22"/>
    <m/>
    <d v="2023-10-22T00:00:00"/>
    <s v="CUST600"/>
    <x v="1"/>
    <n v="59"/>
    <x v="2"/>
    <x v="0"/>
    <n v="2"/>
    <n v="500"/>
    <n v="1000"/>
    <n v="15"/>
  </r>
  <r>
    <n v="601"/>
    <n v="2023"/>
    <n v="4"/>
    <n v="10"/>
    <m/>
    <d v="2023-04-10T00:00:00"/>
    <s v="CUST601"/>
    <x v="0"/>
    <n v="19"/>
    <x v="1"/>
    <x v="1"/>
    <n v="1"/>
    <n v="30"/>
    <n v="30"/>
    <n v="0.44999999999999996"/>
  </r>
  <r>
    <n v="602"/>
    <n v="2023"/>
    <n v="12"/>
    <n v="23"/>
    <m/>
    <d v="2023-12-23T00:00:00"/>
    <s v="CUST602"/>
    <x v="1"/>
    <n v="20"/>
    <x v="1"/>
    <x v="2"/>
    <n v="1"/>
    <n v="300"/>
    <n v="300"/>
    <n v="4.5"/>
  </r>
  <r>
    <n v="603"/>
    <n v="2023"/>
    <n v="7"/>
    <n v="16"/>
    <m/>
    <d v="2023-07-16T00:00:00"/>
    <s v="CUST603"/>
    <x v="1"/>
    <n v="40"/>
    <x v="0"/>
    <x v="1"/>
    <n v="3"/>
    <n v="30"/>
    <n v="90"/>
    <n v="1.3499999999999999"/>
  </r>
  <r>
    <n v="604"/>
    <n v="2023"/>
    <n v="9"/>
    <n v="11"/>
    <m/>
    <d v="2023-09-11T00:00:00"/>
    <s v="CUST604"/>
    <x v="1"/>
    <n v="29"/>
    <x v="1"/>
    <x v="2"/>
    <n v="4"/>
    <n v="50"/>
    <n v="200"/>
    <n v="3"/>
  </r>
  <r>
    <n v="605"/>
    <n v="2023"/>
    <n v="7"/>
    <n v="24"/>
    <m/>
    <d v="2023-07-24T00:00:00"/>
    <s v="CUST605"/>
    <x v="0"/>
    <n v="37"/>
    <x v="0"/>
    <x v="2"/>
    <n v="2"/>
    <n v="500"/>
    <n v="1000"/>
    <n v="15"/>
  </r>
  <r>
    <n v="606"/>
    <n v="2023"/>
    <n v="5"/>
    <n v="5"/>
    <m/>
    <d v="2023-05-05T00:00:00"/>
    <s v="CUST606"/>
    <x v="0"/>
    <n v="22"/>
    <x v="1"/>
    <x v="2"/>
    <n v="1"/>
    <n v="50"/>
    <n v="50"/>
    <n v="0.75"/>
  </r>
  <r>
    <n v="607"/>
    <n v="2023"/>
    <n v="3"/>
    <n v="17"/>
    <m/>
    <d v="2023-03-17T00:00:00"/>
    <s v="CUST607"/>
    <x v="0"/>
    <n v="54"/>
    <x v="2"/>
    <x v="1"/>
    <n v="3"/>
    <n v="25"/>
    <n v="75"/>
    <n v="1.125"/>
  </r>
  <r>
    <n v="608"/>
    <n v="2023"/>
    <n v="12"/>
    <n v="2"/>
    <m/>
    <d v="2023-12-02T00:00:00"/>
    <s v="CUST608"/>
    <x v="1"/>
    <n v="55"/>
    <x v="2"/>
    <x v="2"/>
    <n v="3"/>
    <n v="500"/>
    <n v="1500"/>
    <n v="22.5"/>
  </r>
  <r>
    <n v="609"/>
    <n v="2023"/>
    <n v="12"/>
    <n v="19"/>
    <m/>
    <d v="2023-12-19T00:00:00"/>
    <s v="CUST609"/>
    <x v="1"/>
    <n v="47"/>
    <x v="0"/>
    <x v="1"/>
    <n v="2"/>
    <n v="50"/>
    <n v="100"/>
    <n v="1.5"/>
  </r>
  <r>
    <n v="610"/>
    <n v="2023"/>
    <n v="1"/>
    <n v="3"/>
    <m/>
    <d v="2023-01-03T00:00:00"/>
    <s v="CUST610"/>
    <x v="1"/>
    <n v="26"/>
    <x v="1"/>
    <x v="0"/>
    <n v="2"/>
    <n v="300"/>
    <n v="600"/>
    <n v="9"/>
  </r>
  <r>
    <n v="611"/>
    <n v="2023"/>
    <n v="2"/>
    <n v="24"/>
    <m/>
    <d v="2023-02-24T00:00:00"/>
    <s v="CUST611"/>
    <x v="0"/>
    <n v="51"/>
    <x v="2"/>
    <x v="0"/>
    <n v="3"/>
    <n v="500"/>
    <n v="1500"/>
    <n v="22.5"/>
  </r>
  <r>
    <n v="612"/>
    <n v="2023"/>
    <n v="8"/>
    <n v="6"/>
    <m/>
    <d v="2023-08-06T00:00:00"/>
    <s v="CUST612"/>
    <x v="1"/>
    <n v="61"/>
    <x v="2"/>
    <x v="2"/>
    <n v="1"/>
    <n v="500"/>
    <n v="500"/>
    <n v="7.5"/>
  </r>
  <r>
    <n v="613"/>
    <n v="2023"/>
    <n v="4"/>
    <n v="23"/>
    <m/>
    <d v="2023-04-23T00:00:00"/>
    <s v="CUST613"/>
    <x v="1"/>
    <n v="52"/>
    <x v="2"/>
    <x v="1"/>
    <n v="3"/>
    <n v="30"/>
    <n v="90"/>
    <n v="1.3499999999999999"/>
  </r>
  <r>
    <n v="614"/>
    <n v="2023"/>
    <n v="4"/>
    <n v="1"/>
    <m/>
    <d v="2023-04-01T00:00:00"/>
    <s v="CUST614"/>
    <x v="1"/>
    <n v="39"/>
    <x v="0"/>
    <x v="0"/>
    <n v="4"/>
    <n v="300"/>
    <n v="1200"/>
    <n v="18"/>
  </r>
  <r>
    <n v="615"/>
    <n v="2023"/>
    <n v="12"/>
    <n v="23"/>
    <m/>
    <d v="2023-12-23T00:00:00"/>
    <s v="CUST615"/>
    <x v="1"/>
    <n v="61"/>
    <x v="2"/>
    <x v="1"/>
    <n v="4"/>
    <n v="25"/>
    <n v="100"/>
    <n v="1.5"/>
  </r>
  <r>
    <n v="616"/>
    <n v="2023"/>
    <n v="9"/>
    <n v="23"/>
    <m/>
    <d v="2023-09-23T00:00:00"/>
    <s v="CUST616"/>
    <x v="0"/>
    <n v="41"/>
    <x v="0"/>
    <x v="1"/>
    <n v="2"/>
    <n v="50"/>
    <n v="100"/>
    <n v="1.5"/>
  </r>
  <r>
    <n v="617"/>
    <n v="2023"/>
    <n v="8"/>
    <n v="26"/>
    <m/>
    <d v="2023-08-26T00:00:00"/>
    <s v="CUST617"/>
    <x v="0"/>
    <n v="34"/>
    <x v="0"/>
    <x v="2"/>
    <n v="1"/>
    <n v="30"/>
    <n v="30"/>
    <n v="0.44999999999999996"/>
  </r>
  <r>
    <n v="618"/>
    <n v="2023"/>
    <n v="1"/>
    <n v="26"/>
    <m/>
    <d v="2023-01-26T00:00:00"/>
    <s v="CUST618"/>
    <x v="1"/>
    <n v="27"/>
    <x v="1"/>
    <x v="0"/>
    <n v="1"/>
    <n v="50"/>
    <n v="50"/>
    <n v="0.75"/>
  </r>
  <r>
    <n v="619"/>
    <n v="2023"/>
    <n v="10"/>
    <n v="13"/>
    <m/>
    <d v="2023-10-13T00:00:00"/>
    <s v="CUST619"/>
    <x v="0"/>
    <n v="47"/>
    <x v="0"/>
    <x v="2"/>
    <n v="4"/>
    <n v="25"/>
    <n v="100"/>
    <n v="1.5"/>
  </r>
  <r>
    <n v="620"/>
    <n v="2023"/>
    <n v="5"/>
    <n v="8"/>
    <m/>
    <d v="2023-05-08T00:00:00"/>
    <s v="CUST620"/>
    <x v="0"/>
    <n v="63"/>
    <x v="2"/>
    <x v="2"/>
    <n v="3"/>
    <n v="25"/>
    <n v="75"/>
    <n v="1.125"/>
  </r>
  <r>
    <n v="621"/>
    <n v="2023"/>
    <n v="3"/>
    <n v="4"/>
    <m/>
    <d v="2023-03-04T00:00:00"/>
    <s v="CUST621"/>
    <x v="1"/>
    <n v="40"/>
    <x v="0"/>
    <x v="0"/>
    <n v="2"/>
    <n v="500"/>
    <n v="1000"/>
    <n v="15"/>
  </r>
  <r>
    <n v="622"/>
    <n v="2023"/>
    <n v="8"/>
    <n v="22"/>
    <m/>
    <d v="2023-08-22T00:00:00"/>
    <s v="CUST622"/>
    <x v="1"/>
    <n v="49"/>
    <x v="0"/>
    <x v="0"/>
    <n v="3"/>
    <n v="25"/>
    <n v="75"/>
    <n v="1.125"/>
  </r>
  <r>
    <n v="623"/>
    <n v="2023"/>
    <n v="3"/>
    <n v="10"/>
    <m/>
    <d v="2023-03-10T00:00:00"/>
    <s v="CUST623"/>
    <x v="0"/>
    <n v="34"/>
    <x v="0"/>
    <x v="1"/>
    <n v="3"/>
    <n v="50"/>
    <n v="150"/>
    <n v="2.25"/>
  </r>
  <r>
    <n v="624"/>
    <n v="2023"/>
    <n v="8"/>
    <n v="26"/>
    <m/>
    <d v="2023-08-26T00:00:00"/>
    <s v="CUST624"/>
    <x v="1"/>
    <n v="34"/>
    <x v="0"/>
    <x v="0"/>
    <n v="3"/>
    <n v="300"/>
    <n v="900"/>
    <n v="13.5"/>
  </r>
  <r>
    <n v="625"/>
    <n v="2023"/>
    <n v="12"/>
    <n v="8"/>
    <m/>
    <d v="2023-12-08T00:00:00"/>
    <s v="CUST625"/>
    <x v="0"/>
    <n v="31"/>
    <x v="0"/>
    <x v="1"/>
    <n v="1"/>
    <n v="300"/>
    <n v="300"/>
    <n v="4.5"/>
  </r>
  <r>
    <n v="626"/>
    <n v="2023"/>
    <n v="9"/>
    <n v="29"/>
    <m/>
    <d v="2023-09-29T00:00:00"/>
    <s v="CUST626"/>
    <x v="1"/>
    <n v="26"/>
    <x v="1"/>
    <x v="1"/>
    <n v="4"/>
    <n v="500"/>
    <n v="2000"/>
    <n v="30"/>
  </r>
  <r>
    <n v="627"/>
    <n v="2023"/>
    <n v="10"/>
    <n v="14"/>
    <m/>
    <d v="2023-10-14T00:00:00"/>
    <s v="CUST627"/>
    <x v="0"/>
    <n v="57"/>
    <x v="2"/>
    <x v="1"/>
    <n v="1"/>
    <n v="50"/>
    <n v="50"/>
    <n v="0.75"/>
  </r>
  <r>
    <n v="628"/>
    <n v="2023"/>
    <n v="11"/>
    <n v="1"/>
    <m/>
    <d v="2023-11-01T00:00:00"/>
    <s v="CUST628"/>
    <x v="1"/>
    <n v="19"/>
    <x v="1"/>
    <x v="0"/>
    <n v="4"/>
    <n v="50"/>
    <n v="200"/>
    <n v="3"/>
  </r>
  <r>
    <n v="629"/>
    <n v="2023"/>
    <n v="6"/>
    <n v="12"/>
    <m/>
    <d v="2023-06-12T00:00:00"/>
    <s v="CUST629"/>
    <x v="0"/>
    <n v="62"/>
    <x v="2"/>
    <x v="2"/>
    <n v="2"/>
    <n v="25"/>
    <n v="50"/>
    <n v="0.75"/>
  </r>
  <r>
    <n v="630"/>
    <n v="2023"/>
    <n v="8"/>
    <n v="15"/>
    <m/>
    <d v="2023-08-15T00:00:00"/>
    <s v="CUST630"/>
    <x v="0"/>
    <n v="42"/>
    <x v="0"/>
    <x v="1"/>
    <n v="2"/>
    <n v="50"/>
    <n v="100"/>
    <n v="1.5"/>
  </r>
  <r>
    <n v="631"/>
    <n v="2023"/>
    <n v="11"/>
    <n v="10"/>
    <m/>
    <d v="2023-11-10T00:00:00"/>
    <s v="CUST631"/>
    <x v="0"/>
    <n v="56"/>
    <x v="2"/>
    <x v="2"/>
    <n v="3"/>
    <n v="30"/>
    <n v="90"/>
    <n v="1.3499999999999999"/>
  </r>
  <r>
    <n v="632"/>
    <n v="2023"/>
    <n v="9"/>
    <n v="16"/>
    <m/>
    <d v="2023-09-16T00:00:00"/>
    <s v="CUST632"/>
    <x v="1"/>
    <n v="26"/>
    <x v="1"/>
    <x v="2"/>
    <n v="4"/>
    <n v="25"/>
    <n v="100"/>
    <n v="1.5"/>
  </r>
  <r>
    <n v="633"/>
    <n v="2023"/>
    <n v="8"/>
    <n v="7"/>
    <m/>
    <d v="2023-08-07T00:00:00"/>
    <s v="CUST633"/>
    <x v="0"/>
    <n v="39"/>
    <x v="0"/>
    <x v="0"/>
    <n v="4"/>
    <n v="30"/>
    <n v="120"/>
    <n v="1.7999999999999998"/>
  </r>
  <r>
    <n v="634"/>
    <n v="2023"/>
    <n v="10"/>
    <n v="8"/>
    <m/>
    <d v="2023-10-08T00:00:00"/>
    <s v="CUST634"/>
    <x v="0"/>
    <n v="60"/>
    <x v="2"/>
    <x v="2"/>
    <n v="4"/>
    <n v="500"/>
    <n v="2000"/>
    <n v="30"/>
  </r>
  <r>
    <n v="635"/>
    <n v="2023"/>
    <n v="8"/>
    <n v="17"/>
    <m/>
    <d v="2023-08-17T00:00:00"/>
    <s v="CUST635"/>
    <x v="1"/>
    <n v="63"/>
    <x v="2"/>
    <x v="2"/>
    <n v="3"/>
    <n v="300"/>
    <n v="900"/>
    <n v="13.5"/>
  </r>
  <r>
    <n v="636"/>
    <n v="2023"/>
    <n v="3"/>
    <n v="23"/>
    <m/>
    <d v="2023-03-23T00:00:00"/>
    <s v="CUST636"/>
    <x v="1"/>
    <n v="21"/>
    <x v="1"/>
    <x v="0"/>
    <n v="3"/>
    <n v="500"/>
    <n v="1500"/>
    <n v="22.5"/>
  </r>
  <r>
    <n v="637"/>
    <n v="2023"/>
    <n v="9"/>
    <n v="1"/>
    <m/>
    <d v="2023-09-01T00:00:00"/>
    <s v="CUST637"/>
    <x v="0"/>
    <n v="43"/>
    <x v="0"/>
    <x v="1"/>
    <n v="2"/>
    <n v="300"/>
    <n v="600"/>
    <n v="9"/>
  </r>
  <r>
    <n v="638"/>
    <n v="2023"/>
    <n v="8"/>
    <n v="19"/>
    <m/>
    <d v="2023-08-19T00:00:00"/>
    <s v="CUST638"/>
    <x v="0"/>
    <n v="46"/>
    <x v="0"/>
    <x v="2"/>
    <n v="1"/>
    <n v="500"/>
    <n v="500"/>
    <n v="7.5"/>
  </r>
  <r>
    <n v="639"/>
    <n v="2023"/>
    <n v="5"/>
    <n v="13"/>
    <m/>
    <d v="2023-05-13T00:00:00"/>
    <s v="CUST639"/>
    <x v="1"/>
    <n v="62"/>
    <x v="2"/>
    <x v="0"/>
    <n v="4"/>
    <n v="50"/>
    <n v="200"/>
    <n v="3"/>
  </r>
  <r>
    <n v="640"/>
    <n v="2023"/>
    <n v="5"/>
    <n v="7"/>
    <m/>
    <d v="2023-05-07T00:00:00"/>
    <s v="CUST640"/>
    <x v="1"/>
    <n v="51"/>
    <x v="2"/>
    <x v="2"/>
    <n v="4"/>
    <n v="30"/>
    <n v="120"/>
    <n v="1.7999999999999998"/>
  </r>
  <r>
    <n v="641"/>
    <n v="2023"/>
    <n v="11"/>
    <n v="23"/>
    <m/>
    <d v="2023-11-23T00:00:00"/>
    <s v="CUST641"/>
    <x v="1"/>
    <n v="40"/>
    <x v="0"/>
    <x v="2"/>
    <n v="1"/>
    <n v="300"/>
    <n v="300"/>
    <n v="4.5"/>
  </r>
  <r>
    <n v="642"/>
    <n v="2023"/>
    <n v="5"/>
    <n v="22"/>
    <m/>
    <d v="2023-05-22T00:00:00"/>
    <s v="CUST642"/>
    <x v="1"/>
    <n v="54"/>
    <x v="2"/>
    <x v="1"/>
    <n v="4"/>
    <n v="25"/>
    <n v="100"/>
    <n v="1.5"/>
  </r>
  <r>
    <n v="643"/>
    <n v="2023"/>
    <n v="9"/>
    <n v="24"/>
    <m/>
    <d v="2023-09-24T00:00:00"/>
    <s v="CUST643"/>
    <x v="1"/>
    <n v="28"/>
    <x v="1"/>
    <x v="2"/>
    <n v="3"/>
    <n v="30"/>
    <n v="90"/>
    <n v="1.3499999999999999"/>
  </r>
  <r>
    <n v="644"/>
    <n v="2023"/>
    <n v="9"/>
    <n v="6"/>
    <m/>
    <d v="2023-09-06T00:00:00"/>
    <s v="CUST644"/>
    <x v="0"/>
    <n v="23"/>
    <x v="1"/>
    <x v="0"/>
    <n v="3"/>
    <n v="25"/>
    <n v="75"/>
    <n v="1.125"/>
  </r>
  <r>
    <n v="645"/>
    <n v="2023"/>
    <n v="11"/>
    <n v="17"/>
    <m/>
    <d v="2023-11-17T00:00:00"/>
    <s v="CUST645"/>
    <x v="1"/>
    <n v="35"/>
    <x v="0"/>
    <x v="2"/>
    <n v="4"/>
    <n v="30"/>
    <n v="120"/>
    <n v="1.7999999999999998"/>
  </r>
  <r>
    <n v="646"/>
    <n v="2023"/>
    <n v="5"/>
    <n v="3"/>
    <m/>
    <d v="2023-05-03T00:00:00"/>
    <s v="CUST646"/>
    <x v="0"/>
    <n v="38"/>
    <x v="0"/>
    <x v="1"/>
    <n v="3"/>
    <n v="30"/>
    <n v="90"/>
    <n v="1.3499999999999999"/>
  </r>
  <r>
    <n v="647"/>
    <n v="2023"/>
    <n v="5"/>
    <n v="21"/>
    <m/>
    <d v="2023-05-21T00:00:00"/>
    <s v="CUST647"/>
    <x v="0"/>
    <n v="59"/>
    <x v="2"/>
    <x v="1"/>
    <n v="3"/>
    <n v="500"/>
    <n v="1500"/>
    <n v="22.5"/>
  </r>
  <r>
    <n v="648"/>
    <n v="2023"/>
    <n v="8"/>
    <n v="14"/>
    <m/>
    <d v="2023-08-14T00:00:00"/>
    <s v="CUST648"/>
    <x v="0"/>
    <n v="53"/>
    <x v="2"/>
    <x v="0"/>
    <n v="4"/>
    <n v="300"/>
    <n v="1200"/>
    <n v="18"/>
  </r>
  <r>
    <n v="649"/>
    <n v="2023"/>
    <n v="2"/>
    <n v="9"/>
    <m/>
    <d v="2023-02-09T00:00:00"/>
    <s v="CUST649"/>
    <x v="1"/>
    <n v="58"/>
    <x v="2"/>
    <x v="1"/>
    <n v="2"/>
    <n v="300"/>
    <n v="600"/>
    <n v="9"/>
  </r>
  <r>
    <n v="650"/>
    <n v="2024"/>
    <n v="1"/>
    <n v="1"/>
    <m/>
    <d v="2024-01-01T00:00:00"/>
    <s v="CUST650"/>
    <x v="0"/>
    <n v="55"/>
    <x v="2"/>
    <x v="2"/>
    <n v="1"/>
    <n v="30"/>
    <n v="30"/>
    <n v="0.44999999999999996"/>
  </r>
  <r>
    <n v="651"/>
    <n v="2023"/>
    <n v="5"/>
    <n v="27"/>
    <m/>
    <d v="2023-05-27T00:00:00"/>
    <s v="CUST651"/>
    <x v="0"/>
    <n v="51"/>
    <x v="2"/>
    <x v="1"/>
    <n v="3"/>
    <n v="50"/>
    <n v="150"/>
    <n v="2.25"/>
  </r>
  <r>
    <n v="652"/>
    <n v="2023"/>
    <n v="5"/>
    <n v="1"/>
    <m/>
    <d v="2023-05-01T00:00:00"/>
    <s v="CUST652"/>
    <x v="1"/>
    <n v="34"/>
    <x v="0"/>
    <x v="0"/>
    <n v="2"/>
    <n v="50"/>
    <n v="100"/>
    <n v="1.5"/>
  </r>
  <r>
    <n v="653"/>
    <n v="2023"/>
    <n v="5"/>
    <n v="20"/>
    <m/>
    <d v="2023-05-20T00:00:00"/>
    <s v="CUST653"/>
    <x v="0"/>
    <n v="54"/>
    <x v="2"/>
    <x v="1"/>
    <n v="3"/>
    <n v="25"/>
    <n v="75"/>
    <n v="1.125"/>
  </r>
  <r>
    <n v="654"/>
    <n v="2023"/>
    <n v="6"/>
    <n v="21"/>
    <m/>
    <d v="2023-06-21T00:00:00"/>
    <s v="CUST654"/>
    <x v="0"/>
    <n v="42"/>
    <x v="0"/>
    <x v="1"/>
    <n v="3"/>
    <n v="25"/>
    <n v="75"/>
    <n v="1.125"/>
  </r>
  <r>
    <n v="655"/>
    <n v="2023"/>
    <n v="6"/>
    <n v="13"/>
    <m/>
    <d v="2023-06-13T00:00:00"/>
    <s v="CUST655"/>
    <x v="1"/>
    <n v="55"/>
    <x v="2"/>
    <x v="1"/>
    <n v="1"/>
    <n v="500"/>
    <n v="500"/>
    <n v="7.5"/>
  </r>
  <r>
    <n v="656"/>
    <n v="2023"/>
    <n v="10"/>
    <n v="4"/>
    <m/>
    <d v="2023-10-04T00:00:00"/>
    <s v="CUST656"/>
    <x v="0"/>
    <n v="29"/>
    <x v="1"/>
    <x v="0"/>
    <n v="3"/>
    <n v="30"/>
    <n v="90"/>
    <n v="1.3499999999999999"/>
  </r>
  <r>
    <n v="657"/>
    <n v="2023"/>
    <n v="2"/>
    <n v="11"/>
    <m/>
    <d v="2023-02-11T00:00:00"/>
    <s v="CUST657"/>
    <x v="0"/>
    <n v="40"/>
    <x v="0"/>
    <x v="1"/>
    <n v="1"/>
    <n v="25"/>
    <n v="25"/>
    <n v="0.375"/>
  </r>
  <r>
    <n v="658"/>
    <n v="2023"/>
    <n v="3"/>
    <n v="12"/>
    <m/>
    <d v="2023-03-12T00:00:00"/>
    <s v="CUST658"/>
    <x v="0"/>
    <n v="59"/>
    <x v="2"/>
    <x v="1"/>
    <n v="1"/>
    <n v="25"/>
    <n v="25"/>
    <n v="0.375"/>
  </r>
  <r>
    <n v="659"/>
    <n v="2023"/>
    <n v="3"/>
    <n v="19"/>
    <m/>
    <d v="2023-03-19T00:00:00"/>
    <s v="CUST659"/>
    <x v="1"/>
    <n v="39"/>
    <x v="0"/>
    <x v="2"/>
    <n v="1"/>
    <n v="30"/>
    <n v="30"/>
    <n v="0.44999999999999996"/>
  </r>
  <r>
    <n v="660"/>
    <n v="2023"/>
    <n v="4"/>
    <n v="29"/>
    <m/>
    <d v="2023-04-29T00:00:00"/>
    <s v="CUST660"/>
    <x v="1"/>
    <n v="38"/>
    <x v="0"/>
    <x v="0"/>
    <n v="2"/>
    <n v="500"/>
    <n v="1000"/>
    <n v="15"/>
  </r>
  <r>
    <n v="661"/>
    <n v="2023"/>
    <n v="7"/>
    <n v="16"/>
    <m/>
    <d v="2023-07-16T00:00:00"/>
    <s v="CUST661"/>
    <x v="1"/>
    <n v="44"/>
    <x v="0"/>
    <x v="1"/>
    <n v="4"/>
    <n v="25"/>
    <n v="100"/>
    <n v="1.5"/>
  </r>
  <r>
    <n v="662"/>
    <n v="2023"/>
    <n v="12"/>
    <n v="22"/>
    <m/>
    <d v="2023-12-22T00:00:00"/>
    <s v="CUST662"/>
    <x v="0"/>
    <n v="48"/>
    <x v="0"/>
    <x v="0"/>
    <n v="2"/>
    <n v="500"/>
    <n v="1000"/>
    <n v="15"/>
  </r>
  <r>
    <n v="663"/>
    <n v="2023"/>
    <n v="3"/>
    <n v="20"/>
    <m/>
    <d v="2023-03-20T00:00:00"/>
    <s v="CUST663"/>
    <x v="0"/>
    <n v="23"/>
    <x v="1"/>
    <x v="1"/>
    <n v="4"/>
    <n v="300"/>
    <n v="1200"/>
    <n v="18"/>
  </r>
  <r>
    <n v="664"/>
    <n v="2023"/>
    <n v="12"/>
    <n v="28"/>
    <m/>
    <d v="2023-12-28T00:00:00"/>
    <s v="CUST664"/>
    <x v="1"/>
    <n v="44"/>
    <x v="0"/>
    <x v="1"/>
    <n v="4"/>
    <n v="500"/>
    <n v="2000"/>
    <n v="30"/>
  </r>
  <r>
    <n v="665"/>
    <n v="2023"/>
    <n v="4"/>
    <n v="20"/>
    <m/>
    <d v="2023-04-20T00:00:00"/>
    <s v="CUST665"/>
    <x v="0"/>
    <n v="57"/>
    <x v="2"/>
    <x v="1"/>
    <n v="1"/>
    <n v="50"/>
    <n v="50"/>
    <n v="0.75"/>
  </r>
  <r>
    <n v="666"/>
    <n v="2023"/>
    <n v="2"/>
    <n v="2"/>
    <m/>
    <d v="2023-02-02T00:00:00"/>
    <s v="CUST666"/>
    <x v="0"/>
    <n v="51"/>
    <x v="2"/>
    <x v="2"/>
    <n v="3"/>
    <n v="50"/>
    <n v="150"/>
    <n v="2.25"/>
  </r>
  <r>
    <n v="667"/>
    <n v="2023"/>
    <n v="8"/>
    <n v="1"/>
    <m/>
    <d v="2023-08-01T00:00:00"/>
    <s v="CUST667"/>
    <x v="1"/>
    <n v="29"/>
    <x v="1"/>
    <x v="2"/>
    <n v="1"/>
    <n v="500"/>
    <n v="500"/>
    <n v="7.5"/>
  </r>
  <r>
    <n v="668"/>
    <n v="2023"/>
    <n v="7"/>
    <n v="28"/>
    <m/>
    <d v="2023-07-28T00:00:00"/>
    <s v="CUST668"/>
    <x v="1"/>
    <n v="62"/>
    <x v="2"/>
    <x v="2"/>
    <n v="3"/>
    <n v="50"/>
    <n v="150"/>
    <n v="2.25"/>
  </r>
  <r>
    <n v="669"/>
    <n v="2023"/>
    <n v="6"/>
    <n v="19"/>
    <m/>
    <d v="2023-06-19T00:00:00"/>
    <s v="CUST669"/>
    <x v="0"/>
    <n v="24"/>
    <x v="1"/>
    <x v="0"/>
    <n v="4"/>
    <n v="300"/>
    <n v="1200"/>
    <n v="18"/>
  </r>
  <r>
    <n v="670"/>
    <n v="2023"/>
    <n v="10"/>
    <n v="5"/>
    <m/>
    <d v="2023-10-05T00:00:00"/>
    <s v="CUST670"/>
    <x v="0"/>
    <n v="27"/>
    <x v="1"/>
    <x v="0"/>
    <n v="1"/>
    <n v="30"/>
    <n v="30"/>
    <n v="0.44999999999999996"/>
  </r>
  <r>
    <n v="671"/>
    <n v="2023"/>
    <n v="8"/>
    <n v="27"/>
    <m/>
    <d v="2023-08-27T00:00:00"/>
    <s v="CUST671"/>
    <x v="0"/>
    <n v="62"/>
    <x v="2"/>
    <x v="2"/>
    <n v="3"/>
    <n v="50"/>
    <n v="150"/>
    <n v="2.25"/>
  </r>
  <r>
    <n v="672"/>
    <n v="2023"/>
    <n v="8"/>
    <n v="1"/>
    <m/>
    <d v="2023-08-01T00:00:00"/>
    <s v="CUST672"/>
    <x v="1"/>
    <n v="34"/>
    <x v="0"/>
    <x v="0"/>
    <n v="2"/>
    <n v="50"/>
    <n v="100"/>
    <n v="1.5"/>
  </r>
  <r>
    <n v="673"/>
    <n v="2023"/>
    <n v="2"/>
    <n v="1"/>
    <m/>
    <d v="2023-02-01T00:00:00"/>
    <s v="CUST673"/>
    <x v="1"/>
    <n v="43"/>
    <x v="0"/>
    <x v="1"/>
    <n v="3"/>
    <n v="500"/>
    <n v="1500"/>
    <n v="22.5"/>
  </r>
  <r>
    <n v="674"/>
    <n v="2023"/>
    <n v="4"/>
    <n v="16"/>
    <m/>
    <d v="2023-04-16T00:00:00"/>
    <s v="CUST674"/>
    <x v="1"/>
    <n v="38"/>
    <x v="0"/>
    <x v="1"/>
    <n v="1"/>
    <n v="300"/>
    <n v="300"/>
    <n v="4.5"/>
  </r>
  <r>
    <n v="675"/>
    <n v="2023"/>
    <n v="8"/>
    <n v="4"/>
    <m/>
    <d v="2023-08-04T00:00:00"/>
    <s v="CUST675"/>
    <x v="1"/>
    <n v="45"/>
    <x v="0"/>
    <x v="1"/>
    <n v="2"/>
    <n v="30"/>
    <n v="60"/>
    <n v="0.89999999999999991"/>
  </r>
  <r>
    <n v="676"/>
    <n v="2023"/>
    <n v="7"/>
    <n v="19"/>
    <m/>
    <d v="2023-07-19T00:00:00"/>
    <s v="CUST676"/>
    <x v="0"/>
    <n v="63"/>
    <x v="2"/>
    <x v="2"/>
    <n v="3"/>
    <n v="500"/>
    <n v="1500"/>
    <n v="22.5"/>
  </r>
  <r>
    <n v="677"/>
    <n v="2023"/>
    <n v="10"/>
    <n v="27"/>
    <m/>
    <d v="2023-10-27T00:00:00"/>
    <s v="CUST677"/>
    <x v="1"/>
    <n v="19"/>
    <x v="1"/>
    <x v="0"/>
    <n v="3"/>
    <n v="500"/>
    <n v="1500"/>
    <n v="22.5"/>
  </r>
  <r>
    <n v="678"/>
    <n v="2023"/>
    <n v="12"/>
    <n v="23"/>
    <m/>
    <d v="2023-12-23T00:00:00"/>
    <s v="CUST678"/>
    <x v="1"/>
    <n v="60"/>
    <x v="2"/>
    <x v="2"/>
    <n v="3"/>
    <n v="300"/>
    <n v="900"/>
    <n v="13.5"/>
  </r>
  <r>
    <n v="679"/>
    <n v="2023"/>
    <n v="1"/>
    <n v="11"/>
    <m/>
    <d v="2023-01-11T00:00:00"/>
    <s v="CUST679"/>
    <x v="1"/>
    <n v="18"/>
    <x v="1"/>
    <x v="0"/>
    <n v="3"/>
    <n v="30"/>
    <n v="90"/>
    <n v="1.3499999999999999"/>
  </r>
  <r>
    <n v="680"/>
    <n v="2023"/>
    <n v="10"/>
    <n v="22"/>
    <m/>
    <d v="2023-10-22T00:00:00"/>
    <s v="CUST680"/>
    <x v="1"/>
    <n v="53"/>
    <x v="2"/>
    <x v="1"/>
    <n v="3"/>
    <n v="300"/>
    <n v="900"/>
    <n v="13.5"/>
  </r>
  <r>
    <n v="681"/>
    <n v="2023"/>
    <n v="7"/>
    <n v="14"/>
    <m/>
    <d v="2023-07-14T00:00:00"/>
    <s v="CUST681"/>
    <x v="1"/>
    <n v="43"/>
    <x v="0"/>
    <x v="2"/>
    <n v="2"/>
    <n v="30"/>
    <n v="60"/>
    <n v="0.89999999999999991"/>
  </r>
  <r>
    <n v="682"/>
    <n v="2023"/>
    <n v="9"/>
    <n v="2"/>
    <m/>
    <d v="2023-09-02T00:00:00"/>
    <s v="CUST682"/>
    <x v="0"/>
    <n v="46"/>
    <x v="0"/>
    <x v="0"/>
    <n v="4"/>
    <n v="300"/>
    <n v="1200"/>
    <n v="18"/>
  </r>
  <r>
    <n v="683"/>
    <n v="2023"/>
    <n v="1"/>
    <n v="4"/>
    <m/>
    <d v="2023-01-04T00:00:00"/>
    <s v="CUST683"/>
    <x v="0"/>
    <n v="38"/>
    <x v="0"/>
    <x v="0"/>
    <n v="2"/>
    <n v="500"/>
    <n v="1000"/>
    <n v="15"/>
  </r>
  <r>
    <n v="684"/>
    <n v="2023"/>
    <n v="6"/>
    <n v="30"/>
    <m/>
    <d v="2023-06-30T00:00:00"/>
    <s v="CUST684"/>
    <x v="1"/>
    <n v="28"/>
    <x v="1"/>
    <x v="1"/>
    <n v="2"/>
    <n v="500"/>
    <n v="1000"/>
    <n v="15"/>
  </r>
  <r>
    <n v="685"/>
    <n v="2023"/>
    <n v="6"/>
    <n v="2"/>
    <m/>
    <d v="2023-06-02T00:00:00"/>
    <s v="CUST685"/>
    <x v="0"/>
    <n v="57"/>
    <x v="2"/>
    <x v="2"/>
    <n v="2"/>
    <n v="25"/>
    <n v="50"/>
    <n v="0.75"/>
  </r>
  <r>
    <n v="686"/>
    <n v="2023"/>
    <n v="7"/>
    <n v="19"/>
    <m/>
    <d v="2023-07-19T00:00:00"/>
    <s v="CUST686"/>
    <x v="1"/>
    <n v="28"/>
    <x v="1"/>
    <x v="2"/>
    <n v="4"/>
    <n v="50"/>
    <n v="200"/>
    <n v="3"/>
  </r>
  <r>
    <n v="687"/>
    <n v="2023"/>
    <n v="8"/>
    <n v="3"/>
    <m/>
    <d v="2023-08-03T00:00:00"/>
    <s v="CUST687"/>
    <x v="1"/>
    <n v="53"/>
    <x v="2"/>
    <x v="2"/>
    <n v="1"/>
    <n v="300"/>
    <n v="300"/>
    <n v="4.5"/>
  </r>
  <r>
    <n v="688"/>
    <n v="2023"/>
    <n v="10"/>
    <n v="3"/>
    <m/>
    <d v="2023-10-03T00:00:00"/>
    <s v="CUST688"/>
    <x v="0"/>
    <n v="56"/>
    <x v="2"/>
    <x v="1"/>
    <n v="4"/>
    <n v="25"/>
    <n v="100"/>
    <n v="1.5"/>
  </r>
  <r>
    <n v="689"/>
    <n v="2023"/>
    <n v="10"/>
    <n v="7"/>
    <m/>
    <d v="2023-10-07T00:00:00"/>
    <s v="CUST689"/>
    <x v="0"/>
    <n v="57"/>
    <x v="2"/>
    <x v="2"/>
    <n v="2"/>
    <n v="50"/>
    <n v="100"/>
    <n v="1.5"/>
  </r>
  <r>
    <n v="690"/>
    <n v="2023"/>
    <n v="11"/>
    <n v="5"/>
    <m/>
    <d v="2023-11-05T00:00:00"/>
    <s v="CUST690"/>
    <x v="1"/>
    <n v="52"/>
    <x v="2"/>
    <x v="1"/>
    <n v="3"/>
    <n v="300"/>
    <n v="900"/>
    <n v="13.5"/>
  </r>
  <r>
    <n v="691"/>
    <n v="2023"/>
    <n v="4"/>
    <n v="23"/>
    <m/>
    <d v="2023-04-23T00:00:00"/>
    <s v="CUST691"/>
    <x v="1"/>
    <n v="51"/>
    <x v="2"/>
    <x v="1"/>
    <n v="3"/>
    <n v="30"/>
    <n v="90"/>
    <n v="1.3499999999999999"/>
  </r>
  <r>
    <n v="692"/>
    <n v="2023"/>
    <n v="9"/>
    <n v="7"/>
    <m/>
    <d v="2023-09-07T00:00:00"/>
    <s v="CUST692"/>
    <x v="1"/>
    <n v="64"/>
    <x v="2"/>
    <x v="1"/>
    <n v="2"/>
    <n v="50"/>
    <n v="100"/>
    <n v="1.5"/>
  </r>
  <r>
    <n v="693"/>
    <n v="2023"/>
    <n v="4"/>
    <n v="23"/>
    <m/>
    <d v="2023-04-23T00:00:00"/>
    <s v="CUST693"/>
    <x v="0"/>
    <n v="41"/>
    <x v="0"/>
    <x v="0"/>
    <n v="3"/>
    <n v="500"/>
    <n v="1500"/>
    <n v="22.5"/>
  </r>
  <r>
    <n v="694"/>
    <n v="2023"/>
    <n v="5"/>
    <n v="20"/>
    <m/>
    <d v="2023-05-20T00:00:00"/>
    <s v="CUST694"/>
    <x v="1"/>
    <n v="39"/>
    <x v="0"/>
    <x v="2"/>
    <n v="2"/>
    <n v="25"/>
    <n v="50"/>
    <n v="0.75"/>
  </r>
  <r>
    <n v="695"/>
    <n v="2023"/>
    <n v="8"/>
    <n v="12"/>
    <m/>
    <d v="2023-08-12T00:00:00"/>
    <s v="CUST695"/>
    <x v="1"/>
    <n v="22"/>
    <x v="1"/>
    <x v="2"/>
    <n v="3"/>
    <n v="50"/>
    <n v="150"/>
    <n v="2.25"/>
  </r>
  <r>
    <n v="696"/>
    <n v="2023"/>
    <n v="9"/>
    <n v="6"/>
    <m/>
    <d v="2023-09-06T00:00:00"/>
    <s v="CUST696"/>
    <x v="1"/>
    <n v="50"/>
    <x v="2"/>
    <x v="1"/>
    <n v="4"/>
    <n v="50"/>
    <n v="200"/>
    <n v="3"/>
  </r>
  <r>
    <n v="697"/>
    <n v="2023"/>
    <n v="1"/>
    <n v="15"/>
    <m/>
    <d v="2023-01-15T00:00:00"/>
    <s v="CUST697"/>
    <x v="0"/>
    <n v="53"/>
    <x v="2"/>
    <x v="1"/>
    <n v="1"/>
    <n v="500"/>
    <n v="500"/>
    <n v="7.5"/>
  </r>
  <r>
    <n v="698"/>
    <n v="2023"/>
    <n v="7"/>
    <n v="19"/>
    <m/>
    <d v="2023-07-19T00:00:00"/>
    <s v="CUST698"/>
    <x v="1"/>
    <n v="64"/>
    <x v="2"/>
    <x v="2"/>
    <n v="1"/>
    <n v="300"/>
    <n v="300"/>
    <n v="4.5"/>
  </r>
  <r>
    <n v="699"/>
    <n v="2023"/>
    <n v="6"/>
    <n v="22"/>
    <m/>
    <d v="2023-06-22T00:00:00"/>
    <s v="CUST699"/>
    <x v="1"/>
    <n v="37"/>
    <x v="0"/>
    <x v="1"/>
    <n v="4"/>
    <n v="30"/>
    <n v="120"/>
    <n v="1.7999999999999998"/>
  </r>
  <r>
    <n v="700"/>
    <n v="2023"/>
    <n v="12"/>
    <n v="9"/>
    <m/>
    <d v="2023-12-09T00:00:00"/>
    <s v="CUST700"/>
    <x v="0"/>
    <n v="36"/>
    <x v="0"/>
    <x v="2"/>
    <n v="4"/>
    <n v="500"/>
    <n v="2000"/>
    <n v="30"/>
  </r>
  <r>
    <n v="701"/>
    <n v="2023"/>
    <n v="12"/>
    <n v="14"/>
    <m/>
    <d v="2023-12-14T00:00:00"/>
    <s v="CUST701"/>
    <x v="1"/>
    <n v="52"/>
    <x v="2"/>
    <x v="0"/>
    <n v="2"/>
    <n v="30"/>
    <n v="60"/>
    <n v="0.89999999999999991"/>
  </r>
  <r>
    <n v="702"/>
    <n v="2023"/>
    <n v="7"/>
    <n v="27"/>
    <m/>
    <d v="2023-07-27T00:00:00"/>
    <s v="CUST702"/>
    <x v="1"/>
    <n v="60"/>
    <x v="2"/>
    <x v="1"/>
    <n v="2"/>
    <n v="300"/>
    <n v="600"/>
    <n v="9"/>
  </r>
  <r>
    <n v="703"/>
    <n v="2023"/>
    <n v="3"/>
    <n v="26"/>
    <m/>
    <d v="2023-03-26T00:00:00"/>
    <s v="CUST703"/>
    <x v="0"/>
    <n v="34"/>
    <x v="0"/>
    <x v="2"/>
    <n v="2"/>
    <n v="50"/>
    <n v="100"/>
    <n v="1.5"/>
  </r>
  <r>
    <n v="704"/>
    <n v="2023"/>
    <n v="8"/>
    <n v="28"/>
    <m/>
    <d v="2023-08-28T00:00:00"/>
    <s v="CUST704"/>
    <x v="1"/>
    <n v="62"/>
    <x v="2"/>
    <x v="1"/>
    <n v="3"/>
    <n v="30"/>
    <n v="90"/>
    <n v="1.3499999999999999"/>
  </r>
  <r>
    <n v="705"/>
    <n v="2023"/>
    <n v="3"/>
    <n v="7"/>
    <m/>
    <d v="2023-03-07T00:00:00"/>
    <s v="CUST705"/>
    <x v="0"/>
    <n v="60"/>
    <x v="2"/>
    <x v="2"/>
    <n v="2"/>
    <n v="25"/>
    <n v="50"/>
    <n v="0.75"/>
  </r>
  <r>
    <n v="706"/>
    <n v="2023"/>
    <n v="11"/>
    <n v="15"/>
    <m/>
    <d v="2023-11-15T00:00:00"/>
    <s v="CUST706"/>
    <x v="0"/>
    <n v="51"/>
    <x v="2"/>
    <x v="2"/>
    <n v="4"/>
    <n v="25"/>
    <n v="100"/>
    <n v="1.5"/>
  </r>
  <r>
    <n v="707"/>
    <n v="2023"/>
    <n v="10"/>
    <n v="1"/>
    <m/>
    <d v="2023-10-01T00:00:00"/>
    <s v="CUST707"/>
    <x v="1"/>
    <n v="26"/>
    <x v="1"/>
    <x v="1"/>
    <n v="1"/>
    <n v="500"/>
    <n v="500"/>
    <n v="7.5"/>
  </r>
  <r>
    <n v="708"/>
    <n v="2023"/>
    <n v="1"/>
    <n v="14"/>
    <m/>
    <d v="2023-01-14T00:00:00"/>
    <s v="CUST708"/>
    <x v="1"/>
    <n v="43"/>
    <x v="0"/>
    <x v="0"/>
    <n v="3"/>
    <n v="300"/>
    <n v="900"/>
    <n v="13.5"/>
  </r>
  <r>
    <n v="709"/>
    <n v="2023"/>
    <n v="7"/>
    <n v="21"/>
    <m/>
    <d v="2023-07-21T00:00:00"/>
    <s v="CUST709"/>
    <x v="1"/>
    <n v="19"/>
    <x v="1"/>
    <x v="2"/>
    <n v="2"/>
    <n v="500"/>
    <n v="1000"/>
    <n v="15"/>
  </r>
  <r>
    <n v="710"/>
    <n v="2023"/>
    <n v="10"/>
    <n v="31"/>
    <m/>
    <d v="2023-10-31T00:00:00"/>
    <s v="CUST710"/>
    <x v="1"/>
    <n v="26"/>
    <x v="1"/>
    <x v="2"/>
    <n v="3"/>
    <n v="500"/>
    <n v="1500"/>
    <n v="22.5"/>
  </r>
  <r>
    <n v="711"/>
    <n v="2023"/>
    <n v="10"/>
    <n v="16"/>
    <m/>
    <d v="2023-10-16T00:00:00"/>
    <s v="CUST711"/>
    <x v="0"/>
    <n v="26"/>
    <x v="1"/>
    <x v="2"/>
    <n v="3"/>
    <n v="500"/>
    <n v="1500"/>
    <n v="22.5"/>
  </r>
  <r>
    <n v="712"/>
    <n v="2023"/>
    <n v="12"/>
    <n v="6"/>
    <m/>
    <d v="2023-12-06T00:00:00"/>
    <s v="CUST712"/>
    <x v="1"/>
    <n v="57"/>
    <x v="2"/>
    <x v="0"/>
    <n v="2"/>
    <n v="25"/>
    <n v="50"/>
    <n v="0.75"/>
  </r>
  <r>
    <n v="713"/>
    <n v="2023"/>
    <n v="1"/>
    <n v="14"/>
    <m/>
    <d v="2023-01-14T00:00:00"/>
    <s v="CUST713"/>
    <x v="0"/>
    <n v="34"/>
    <x v="0"/>
    <x v="0"/>
    <n v="3"/>
    <n v="25"/>
    <n v="75"/>
    <n v="1.125"/>
  </r>
  <r>
    <n v="714"/>
    <n v="2023"/>
    <n v="2"/>
    <n v="12"/>
    <m/>
    <d v="2023-02-12T00:00:00"/>
    <s v="CUST714"/>
    <x v="1"/>
    <n v="18"/>
    <x v="1"/>
    <x v="1"/>
    <n v="1"/>
    <n v="500"/>
    <n v="500"/>
    <n v="7.5"/>
  </r>
  <r>
    <n v="715"/>
    <n v="2023"/>
    <n v="11"/>
    <n v="26"/>
    <m/>
    <d v="2023-11-26T00:00:00"/>
    <s v="CUST715"/>
    <x v="1"/>
    <n v="42"/>
    <x v="0"/>
    <x v="0"/>
    <n v="4"/>
    <n v="25"/>
    <n v="100"/>
    <n v="1.5"/>
  </r>
  <r>
    <n v="716"/>
    <n v="2023"/>
    <n v="8"/>
    <n v="8"/>
    <m/>
    <d v="2023-08-08T00:00:00"/>
    <s v="CUST716"/>
    <x v="1"/>
    <n v="60"/>
    <x v="2"/>
    <x v="1"/>
    <n v="4"/>
    <n v="300"/>
    <n v="1200"/>
    <n v="18"/>
  </r>
  <r>
    <n v="717"/>
    <n v="2023"/>
    <n v="3"/>
    <n v="11"/>
    <m/>
    <d v="2023-03-11T00:00:00"/>
    <s v="CUST717"/>
    <x v="0"/>
    <n v="57"/>
    <x v="2"/>
    <x v="1"/>
    <n v="1"/>
    <n v="500"/>
    <n v="500"/>
    <n v="7.5"/>
  </r>
  <r>
    <n v="718"/>
    <n v="2023"/>
    <n v="8"/>
    <n v="25"/>
    <m/>
    <d v="2023-08-25T00:00:00"/>
    <s v="CUST718"/>
    <x v="1"/>
    <n v="59"/>
    <x v="2"/>
    <x v="0"/>
    <n v="3"/>
    <n v="25"/>
    <n v="75"/>
    <n v="1.125"/>
  </r>
  <r>
    <n v="719"/>
    <n v="2023"/>
    <n v="4"/>
    <n v="4"/>
    <m/>
    <d v="2023-04-04T00:00:00"/>
    <s v="CUST719"/>
    <x v="1"/>
    <n v="42"/>
    <x v="0"/>
    <x v="1"/>
    <n v="2"/>
    <n v="30"/>
    <n v="60"/>
    <n v="0.89999999999999991"/>
  </r>
  <r>
    <n v="720"/>
    <n v="2023"/>
    <n v="1"/>
    <n v="26"/>
    <m/>
    <d v="2023-01-26T00:00:00"/>
    <s v="CUST720"/>
    <x v="1"/>
    <n v="56"/>
    <x v="2"/>
    <x v="0"/>
    <n v="3"/>
    <n v="500"/>
    <n v="1500"/>
    <n v="22.5"/>
  </r>
  <r>
    <n v="721"/>
    <n v="2023"/>
    <n v="5"/>
    <n v="14"/>
    <m/>
    <d v="2023-05-14T00:00:00"/>
    <s v="CUST721"/>
    <x v="1"/>
    <n v="52"/>
    <x v="2"/>
    <x v="1"/>
    <n v="1"/>
    <n v="500"/>
    <n v="500"/>
    <n v="7.5"/>
  </r>
  <r>
    <n v="722"/>
    <n v="2023"/>
    <n v="7"/>
    <n v="14"/>
    <m/>
    <d v="2023-07-14T00:00:00"/>
    <s v="CUST722"/>
    <x v="0"/>
    <n v="20"/>
    <x v="1"/>
    <x v="0"/>
    <n v="3"/>
    <n v="300"/>
    <n v="900"/>
    <n v="13.5"/>
  </r>
  <r>
    <n v="723"/>
    <n v="2023"/>
    <n v="6"/>
    <n v="17"/>
    <m/>
    <d v="2023-06-17T00:00:00"/>
    <s v="CUST723"/>
    <x v="1"/>
    <n v="54"/>
    <x v="2"/>
    <x v="0"/>
    <n v="4"/>
    <n v="50"/>
    <n v="200"/>
    <n v="3"/>
  </r>
  <r>
    <n v="724"/>
    <n v="2023"/>
    <n v="4"/>
    <n v="19"/>
    <m/>
    <d v="2023-04-19T00:00:00"/>
    <s v="CUST724"/>
    <x v="0"/>
    <n v="61"/>
    <x v="2"/>
    <x v="1"/>
    <n v="3"/>
    <n v="50"/>
    <n v="150"/>
    <n v="2.25"/>
  </r>
  <r>
    <n v="725"/>
    <n v="2023"/>
    <n v="8"/>
    <n v="21"/>
    <m/>
    <d v="2023-08-21T00:00:00"/>
    <s v="CUST725"/>
    <x v="0"/>
    <n v="61"/>
    <x v="2"/>
    <x v="2"/>
    <n v="1"/>
    <n v="300"/>
    <n v="300"/>
    <n v="4.5"/>
  </r>
  <r>
    <n v="726"/>
    <n v="2023"/>
    <n v="6"/>
    <n v="17"/>
    <m/>
    <d v="2023-06-17T00:00:00"/>
    <s v="CUST726"/>
    <x v="0"/>
    <n v="47"/>
    <x v="0"/>
    <x v="1"/>
    <n v="4"/>
    <n v="300"/>
    <n v="1200"/>
    <n v="18"/>
  </r>
  <r>
    <n v="727"/>
    <n v="2023"/>
    <n v="6"/>
    <n v="22"/>
    <m/>
    <d v="2023-06-22T00:00:00"/>
    <s v="CUST727"/>
    <x v="0"/>
    <n v="55"/>
    <x v="2"/>
    <x v="0"/>
    <n v="3"/>
    <n v="300"/>
    <n v="900"/>
    <n v="13.5"/>
  </r>
  <r>
    <n v="728"/>
    <n v="2023"/>
    <n v="7"/>
    <n v="14"/>
    <m/>
    <d v="2023-07-14T00:00:00"/>
    <s v="CUST728"/>
    <x v="0"/>
    <n v="51"/>
    <x v="2"/>
    <x v="2"/>
    <n v="3"/>
    <n v="50"/>
    <n v="150"/>
    <n v="2.25"/>
  </r>
  <r>
    <n v="729"/>
    <n v="2023"/>
    <n v="5"/>
    <n v="23"/>
    <m/>
    <d v="2023-05-23T00:00:00"/>
    <s v="CUST729"/>
    <x v="0"/>
    <n v="29"/>
    <x v="1"/>
    <x v="1"/>
    <n v="4"/>
    <n v="300"/>
    <n v="1200"/>
    <n v="18"/>
  </r>
  <r>
    <n v="730"/>
    <n v="2023"/>
    <n v="8"/>
    <n v="4"/>
    <m/>
    <d v="2023-08-04T00:00:00"/>
    <s v="CUST730"/>
    <x v="1"/>
    <n v="36"/>
    <x v="0"/>
    <x v="1"/>
    <n v="2"/>
    <n v="25"/>
    <n v="50"/>
    <n v="0.75"/>
  </r>
  <r>
    <n v="731"/>
    <n v="2023"/>
    <n v="5"/>
    <n v="10"/>
    <m/>
    <d v="2023-05-10T00:00:00"/>
    <s v="CUST731"/>
    <x v="0"/>
    <n v="54"/>
    <x v="2"/>
    <x v="1"/>
    <n v="4"/>
    <n v="500"/>
    <n v="2000"/>
    <n v="30"/>
  </r>
  <r>
    <n v="732"/>
    <n v="2023"/>
    <n v="2"/>
    <n v="11"/>
    <m/>
    <d v="2023-02-11T00:00:00"/>
    <s v="CUST732"/>
    <x v="0"/>
    <n v="61"/>
    <x v="2"/>
    <x v="2"/>
    <n v="2"/>
    <n v="500"/>
    <n v="1000"/>
    <n v="15"/>
  </r>
  <r>
    <n v="733"/>
    <n v="2023"/>
    <n v="8"/>
    <n v="29"/>
    <m/>
    <d v="2023-08-29T00:00:00"/>
    <s v="CUST733"/>
    <x v="0"/>
    <n v="34"/>
    <x v="0"/>
    <x v="0"/>
    <n v="1"/>
    <n v="30"/>
    <n v="30"/>
    <n v="0.44999999999999996"/>
  </r>
  <r>
    <n v="734"/>
    <n v="2023"/>
    <n v="1"/>
    <n v="10"/>
    <m/>
    <d v="2023-01-10T00:00:00"/>
    <s v="CUST734"/>
    <x v="1"/>
    <n v="27"/>
    <x v="1"/>
    <x v="1"/>
    <n v="1"/>
    <n v="30"/>
    <n v="30"/>
    <n v="0.44999999999999996"/>
  </r>
  <r>
    <n v="735"/>
    <n v="2023"/>
    <n v="10"/>
    <n v="4"/>
    <m/>
    <d v="2023-10-04T00:00:00"/>
    <s v="CUST735"/>
    <x v="1"/>
    <n v="64"/>
    <x v="2"/>
    <x v="1"/>
    <n v="4"/>
    <n v="500"/>
    <n v="2000"/>
    <n v="30"/>
  </r>
  <r>
    <n v="736"/>
    <n v="2023"/>
    <n v="1"/>
    <n v="27"/>
    <m/>
    <d v="2023-01-27T00:00:00"/>
    <s v="CUST736"/>
    <x v="0"/>
    <n v="29"/>
    <x v="1"/>
    <x v="1"/>
    <n v="4"/>
    <n v="25"/>
    <n v="100"/>
    <n v="1.5"/>
  </r>
  <r>
    <n v="737"/>
    <n v="2023"/>
    <n v="6"/>
    <n v="29"/>
    <m/>
    <d v="2023-06-29T00:00:00"/>
    <s v="CUST737"/>
    <x v="1"/>
    <n v="33"/>
    <x v="0"/>
    <x v="1"/>
    <n v="1"/>
    <n v="50"/>
    <n v="50"/>
    <n v="0.75"/>
  </r>
  <r>
    <n v="738"/>
    <n v="2023"/>
    <n v="4"/>
    <n v="25"/>
    <m/>
    <d v="2023-04-25T00:00:00"/>
    <s v="CUST738"/>
    <x v="0"/>
    <n v="41"/>
    <x v="0"/>
    <x v="1"/>
    <n v="2"/>
    <n v="50"/>
    <n v="100"/>
    <n v="1.5"/>
  </r>
  <r>
    <n v="739"/>
    <n v="2023"/>
    <n v="11"/>
    <n v="29"/>
    <m/>
    <d v="2023-11-29T00:00:00"/>
    <s v="CUST739"/>
    <x v="0"/>
    <n v="36"/>
    <x v="0"/>
    <x v="0"/>
    <n v="1"/>
    <n v="25"/>
    <n v="25"/>
    <n v="0.375"/>
  </r>
  <r>
    <n v="740"/>
    <n v="2023"/>
    <n v="2"/>
    <n v="5"/>
    <m/>
    <d v="2023-02-05T00:00:00"/>
    <s v="CUST740"/>
    <x v="1"/>
    <n v="25"/>
    <x v="1"/>
    <x v="0"/>
    <n v="4"/>
    <n v="50"/>
    <n v="200"/>
    <n v="3"/>
  </r>
  <r>
    <n v="741"/>
    <n v="2023"/>
    <n v="11"/>
    <n v="30"/>
    <m/>
    <d v="2023-11-30T00:00:00"/>
    <s v="CUST741"/>
    <x v="0"/>
    <n v="48"/>
    <x v="0"/>
    <x v="1"/>
    <n v="1"/>
    <n v="300"/>
    <n v="300"/>
    <n v="4.5"/>
  </r>
  <r>
    <n v="742"/>
    <n v="2023"/>
    <n v="1"/>
    <n v="21"/>
    <m/>
    <d v="2023-01-21T00:00:00"/>
    <s v="CUST742"/>
    <x v="1"/>
    <n v="38"/>
    <x v="0"/>
    <x v="2"/>
    <n v="4"/>
    <n v="500"/>
    <n v="2000"/>
    <n v="30"/>
  </r>
  <r>
    <n v="743"/>
    <n v="2023"/>
    <n v="1"/>
    <n v="16"/>
    <m/>
    <d v="2023-01-16T00:00:00"/>
    <s v="CUST743"/>
    <x v="1"/>
    <n v="34"/>
    <x v="0"/>
    <x v="0"/>
    <n v="4"/>
    <n v="500"/>
    <n v="2000"/>
    <n v="30"/>
  </r>
  <r>
    <n v="744"/>
    <n v="2023"/>
    <n v="5"/>
    <n v="7"/>
    <m/>
    <d v="2023-05-07T00:00:00"/>
    <s v="CUST744"/>
    <x v="0"/>
    <n v="40"/>
    <x v="0"/>
    <x v="2"/>
    <n v="1"/>
    <n v="25"/>
    <n v="25"/>
    <n v="0.375"/>
  </r>
  <r>
    <n v="745"/>
    <n v="2023"/>
    <n v="4"/>
    <n v="13"/>
    <m/>
    <d v="2023-04-13T00:00:00"/>
    <s v="CUST745"/>
    <x v="0"/>
    <n v="54"/>
    <x v="2"/>
    <x v="0"/>
    <n v="2"/>
    <n v="50"/>
    <n v="100"/>
    <n v="1.5"/>
  </r>
  <r>
    <n v="746"/>
    <n v="2023"/>
    <n v="1"/>
    <n v="11"/>
    <m/>
    <d v="2023-01-11T00:00:00"/>
    <s v="CUST746"/>
    <x v="1"/>
    <n v="33"/>
    <x v="0"/>
    <x v="1"/>
    <n v="3"/>
    <n v="30"/>
    <n v="90"/>
    <n v="1.3499999999999999"/>
  </r>
  <r>
    <n v="747"/>
    <n v="2023"/>
    <n v="11"/>
    <n v="15"/>
    <m/>
    <d v="2023-11-15T00:00:00"/>
    <s v="CUST747"/>
    <x v="0"/>
    <n v="23"/>
    <x v="1"/>
    <x v="0"/>
    <n v="1"/>
    <n v="30"/>
    <n v="30"/>
    <n v="0.44999999999999996"/>
  </r>
  <r>
    <n v="748"/>
    <n v="2023"/>
    <n v="3"/>
    <n v="20"/>
    <m/>
    <d v="2023-03-20T00:00:00"/>
    <s v="CUST748"/>
    <x v="0"/>
    <n v="25"/>
    <x v="1"/>
    <x v="1"/>
    <n v="3"/>
    <n v="50"/>
    <n v="150"/>
    <n v="2.25"/>
  </r>
  <r>
    <n v="749"/>
    <n v="2023"/>
    <n v="5"/>
    <n v="3"/>
    <m/>
    <d v="2023-05-03T00:00:00"/>
    <s v="CUST749"/>
    <x v="0"/>
    <n v="42"/>
    <x v="0"/>
    <x v="0"/>
    <n v="1"/>
    <n v="30"/>
    <n v="30"/>
    <n v="0.44999999999999996"/>
  </r>
  <r>
    <n v="750"/>
    <n v="2023"/>
    <n v="3"/>
    <n v="6"/>
    <m/>
    <d v="2023-03-06T00:00:00"/>
    <s v="CUST750"/>
    <x v="1"/>
    <n v="35"/>
    <x v="0"/>
    <x v="1"/>
    <n v="3"/>
    <n v="25"/>
    <n v="75"/>
    <n v="1.125"/>
  </r>
  <r>
    <n v="751"/>
    <n v="2023"/>
    <n v="8"/>
    <n v="31"/>
    <m/>
    <d v="2023-08-31T00:00:00"/>
    <s v="CUST751"/>
    <x v="1"/>
    <n v="42"/>
    <x v="0"/>
    <x v="1"/>
    <n v="2"/>
    <n v="25"/>
    <n v="50"/>
    <n v="0.75"/>
  </r>
  <r>
    <n v="752"/>
    <n v="2023"/>
    <n v="12"/>
    <n v="9"/>
    <m/>
    <d v="2023-12-09T00:00:00"/>
    <s v="CUST752"/>
    <x v="0"/>
    <n v="29"/>
    <x v="1"/>
    <x v="1"/>
    <n v="2"/>
    <n v="50"/>
    <n v="100"/>
    <n v="1.5"/>
  </r>
  <r>
    <n v="753"/>
    <n v="2023"/>
    <n v="2"/>
    <n v="28"/>
    <m/>
    <d v="2023-02-28T00:00:00"/>
    <s v="CUST753"/>
    <x v="1"/>
    <n v="32"/>
    <x v="0"/>
    <x v="1"/>
    <n v="1"/>
    <n v="30"/>
    <n v="30"/>
    <n v="0.44999999999999996"/>
  </r>
  <r>
    <n v="754"/>
    <n v="2023"/>
    <n v="10"/>
    <n v="16"/>
    <m/>
    <d v="2023-10-16T00:00:00"/>
    <s v="CUST754"/>
    <x v="1"/>
    <n v="43"/>
    <x v="0"/>
    <x v="2"/>
    <n v="4"/>
    <n v="25"/>
    <n v="100"/>
    <n v="1.5"/>
  </r>
  <r>
    <n v="755"/>
    <n v="2023"/>
    <n v="4"/>
    <n v="22"/>
    <m/>
    <d v="2023-04-22T00:00:00"/>
    <s v="CUST755"/>
    <x v="1"/>
    <n v="58"/>
    <x v="2"/>
    <x v="1"/>
    <n v="3"/>
    <n v="25"/>
    <n v="75"/>
    <n v="1.125"/>
  </r>
  <r>
    <n v="756"/>
    <n v="2023"/>
    <n v="8"/>
    <n v="27"/>
    <m/>
    <d v="2023-08-27T00:00:00"/>
    <s v="CUST756"/>
    <x v="1"/>
    <n v="62"/>
    <x v="2"/>
    <x v="2"/>
    <n v="4"/>
    <n v="300"/>
    <n v="1200"/>
    <n v="18"/>
  </r>
  <r>
    <n v="757"/>
    <n v="2023"/>
    <n v="12"/>
    <n v="25"/>
    <m/>
    <d v="2023-12-25T00:00:00"/>
    <s v="CUST757"/>
    <x v="1"/>
    <n v="43"/>
    <x v="0"/>
    <x v="2"/>
    <n v="4"/>
    <n v="300"/>
    <n v="1200"/>
    <n v="18"/>
  </r>
  <r>
    <n v="758"/>
    <n v="2023"/>
    <n v="5"/>
    <n v="12"/>
    <m/>
    <d v="2023-05-12T00:00:00"/>
    <s v="CUST758"/>
    <x v="0"/>
    <n v="64"/>
    <x v="2"/>
    <x v="1"/>
    <n v="4"/>
    <n v="25"/>
    <n v="100"/>
    <n v="1.5"/>
  </r>
  <r>
    <n v="759"/>
    <n v="2023"/>
    <n v="7"/>
    <n v="8"/>
    <m/>
    <d v="2023-07-08T00:00:00"/>
    <s v="CUST759"/>
    <x v="0"/>
    <n v="49"/>
    <x v="0"/>
    <x v="2"/>
    <n v="2"/>
    <n v="50"/>
    <n v="100"/>
    <n v="1.5"/>
  </r>
  <r>
    <n v="760"/>
    <n v="2023"/>
    <n v="3"/>
    <n v="27"/>
    <m/>
    <d v="2023-03-27T00:00:00"/>
    <s v="CUST760"/>
    <x v="0"/>
    <n v="27"/>
    <x v="1"/>
    <x v="0"/>
    <n v="1"/>
    <n v="500"/>
    <n v="500"/>
    <n v="7.5"/>
  </r>
  <r>
    <n v="761"/>
    <n v="2023"/>
    <n v="11"/>
    <n v="7"/>
    <m/>
    <d v="2023-11-07T00:00:00"/>
    <s v="CUST761"/>
    <x v="1"/>
    <n v="33"/>
    <x v="0"/>
    <x v="1"/>
    <n v="1"/>
    <n v="500"/>
    <n v="500"/>
    <n v="7.5"/>
  </r>
  <r>
    <n v="762"/>
    <n v="2023"/>
    <n v="11"/>
    <n v="7"/>
    <m/>
    <d v="2023-11-07T00:00:00"/>
    <s v="CUST762"/>
    <x v="1"/>
    <n v="24"/>
    <x v="1"/>
    <x v="2"/>
    <n v="2"/>
    <n v="25"/>
    <n v="50"/>
    <n v="0.75"/>
  </r>
  <r>
    <n v="763"/>
    <n v="2023"/>
    <n v="2"/>
    <n v="28"/>
    <m/>
    <d v="2023-02-28T00:00:00"/>
    <s v="CUST763"/>
    <x v="0"/>
    <n v="34"/>
    <x v="0"/>
    <x v="1"/>
    <n v="2"/>
    <n v="25"/>
    <n v="50"/>
    <n v="0.75"/>
  </r>
  <r>
    <n v="764"/>
    <n v="2023"/>
    <n v="3"/>
    <n v="25"/>
    <m/>
    <d v="2023-03-25T00:00:00"/>
    <s v="CUST764"/>
    <x v="1"/>
    <n v="40"/>
    <x v="0"/>
    <x v="1"/>
    <n v="1"/>
    <n v="25"/>
    <n v="25"/>
    <n v="0.375"/>
  </r>
  <r>
    <n v="765"/>
    <n v="2023"/>
    <n v="6"/>
    <n v="9"/>
    <m/>
    <d v="2023-06-09T00:00:00"/>
    <s v="CUST765"/>
    <x v="0"/>
    <n v="43"/>
    <x v="0"/>
    <x v="1"/>
    <n v="4"/>
    <n v="50"/>
    <n v="200"/>
    <n v="3"/>
  </r>
  <r>
    <n v="766"/>
    <n v="2023"/>
    <n v="2"/>
    <n v="25"/>
    <m/>
    <d v="2023-02-25T00:00:00"/>
    <s v="CUST766"/>
    <x v="0"/>
    <n v="38"/>
    <x v="0"/>
    <x v="2"/>
    <n v="3"/>
    <n v="300"/>
    <n v="900"/>
    <n v="13.5"/>
  </r>
  <r>
    <n v="767"/>
    <n v="2023"/>
    <n v="10"/>
    <n v="24"/>
    <m/>
    <d v="2023-10-24T00:00:00"/>
    <s v="CUST767"/>
    <x v="0"/>
    <n v="39"/>
    <x v="0"/>
    <x v="0"/>
    <n v="3"/>
    <n v="25"/>
    <n v="75"/>
    <n v="1.125"/>
  </r>
  <r>
    <n v="768"/>
    <n v="2023"/>
    <n v="1"/>
    <n v="14"/>
    <m/>
    <d v="2023-01-14T00:00:00"/>
    <s v="CUST768"/>
    <x v="1"/>
    <n v="24"/>
    <x v="1"/>
    <x v="0"/>
    <n v="3"/>
    <n v="25"/>
    <n v="75"/>
    <n v="1.125"/>
  </r>
  <r>
    <n v="769"/>
    <n v="2023"/>
    <n v="6"/>
    <n v="9"/>
    <m/>
    <d v="2023-06-09T00:00:00"/>
    <s v="CUST769"/>
    <x v="1"/>
    <n v="31"/>
    <x v="0"/>
    <x v="2"/>
    <n v="4"/>
    <n v="30"/>
    <n v="120"/>
    <n v="1.7999999999999998"/>
  </r>
  <r>
    <n v="770"/>
    <n v="2023"/>
    <n v="10"/>
    <n v="22"/>
    <m/>
    <d v="2023-10-22T00:00:00"/>
    <s v="CUST770"/>
    <x v="0"/>
    <n v="32"/>
    <x v="0"/>
    <x v="1"/>
    <n v="1"/>
    <n v="50"/>
    <n v="50"/>
    <n v="0.75"/>
  </r>
  <r>
    <n v="771"/>
    <n v="2023"/>
    <n v="12"/>
    <n v="13"/>
    <m/>
    <d v="2023-12-13T00:00:00"/>
    <s v="CUST771"/>
    <x v="0"/>
    <n v="24"/>
    <x v="1"/>
    <x v="2"/>
    <n v="2"/>
    <n v="25"/>
    <n v="50"/>
    <n v="0.75"/>
  </r>
  <r>
    <n v="772"/>
    <n v="2023"/>
    <n v="7"/>
    <n v="12"/>
    <m/>
    <d v="2023-07-12T00:00:00"/>
    <s v="CUST772"/>
    <x v="0"/>
    <n v="26"/>
    <x v="1"/>
    <x v="2"/>
    <n v="1"/>
    <n v="30"/>
    <n v="30"/>
    <n v="0.44999999999999996"/>
  </r>
  <r>
    <n v="773"/>
    <n v="2023"/>
    <n v="7"/>
    <n v="23"/>
    <m/>
    <d v="2023-07-23T00:00:00"/>
    <s v="CUST773"/>
    <x v="0"/>
    <n v="25"/>
    <x v="1"/>
    <x v="2"/>
    <n v="4"/>
    <n v="500"/>
    <n v="2000"/>
    <n v="30"/>
  </r>
  <r>
    <n v="774"/>
    <n v="2023"/>
    <n v="4"/>
    <n v="12"/>
    <m/>
    <d v="2023-04-12T00:00:00"/>
    <s v="CUST774"/>
    <x v="1"/>
    <n v="40"/>
    <x v="0"/>
    <x v="1"/>
    <n v="2"/>
    <n v="25"/>
    <n v="50"/>
    <n v="0.75"/>
  </r>
  <r>
    <n v="775"/>
    <n v="2023"/>
    <n v="2"/>
    <n v="8"/>
    <m/>
    <d v="2023-02-08T00:00:00"/>
    <s v="CUST775"/>
    <x v="1"/>
    <n v="46"/>
    <x v="0"/>
    <x v="2"/>
    <n v="4"/>
    <n v="25"/>
    <n v="100"/>
    <n v="1.5"/>
  </r>
  <r>
    <n v="776"/>
    <n v="2023"/>
    <n v="10"/>
    <n v="31"/>
    <m/>
    <d v="2023-10-31T00:00:00"/>
    <s v="CUST776"/>
    <x v="0"/>
    <n v="35"/>
    <x v="0"/>
    <x v="1"/>
    <n v="3"/>
    <n v="30"/>
    <n v="90"/>
    <n v="1.3499999999999999"/>
  </r>
  <r>
    <n v="777"/>
    <n v="2023"/>
    <n v="12"/>
    <n v="20"/>
    <m/>
    <d v="2023-12-20T00:00:00"/>
    <s v="CUST777"/>
    <x v="0"/>
    <n v="48"/>
    <x v="0"/>
    <x v="2"/>
    <n v="3"/>
    <n v="50"/>
    <n v="150"/>
    <n v="2.25"/>
  </r>
  <r>
    <n v="778"/>
    <n v="2023"/>
    <n v="11"/>
    <n v="18"/>
    <m/>
    <d v="2023-11-18T00:00:00"/>
    <s v="CUST778"/>
    <x v="1"/>
    <n v="47"/>
    <x v="0"/>
    <x v="0"/>
    <n v="4"/>
    <n v="25"/>
    <n v="100"/>
    <n v="1.5"/>
  </r>
  <r>
    <n v="779"/>
    <n v="2023"/>
    <n v="5"/>
    <n v="5"/>
    <m/>
    <d v="2023-05-05T00:00:00"/>
    <s v="CUST779"/>
    <x v="1"/>
    <n v="56"/>
    <x v="2"/>
    <x v="2"/>
    <n v="2"/>
    <n v="500"/>
    <n v="1000"/>
    <n v="15"/>
  </r>
  <r>
    <n v="780"/>
    <n v="2023"/>
    <n v="2"/>
    <n v="22"/>
    <m/>
    <d v="2023-02-22T00:00:00"/>
    <s v="CUST780"/>
    <x v="0"/>
    <n v="52"/>
    <x v="2"/>
    <x v="2"/>
    <n v="2"/>
    <n v="25"/>
    <n v="50"/>
    <n v="0.75"/>
  </r>
  <r>
    <n v="781"/>
    <n v="2023"/>
    <n v="12"/>
    <n v="23"/>
    <m/>
    <d v="2023-12-23T00:00:00"/>
    <s v="CUST781"/>
    <x v="0"/>
    <n v="35"/>
    <x v="0"/>
    <x v="0"/>
    <n v="1"/>
    <n v="500"/>
    <n v="500"/>
    <n v="7.5"/>
  </r>
  <r>
    <n v="782"/>
    <n v="2023"/>
    <n v="6"/>
    <n v="4"/>
    <m/>
    <d v="2023-06-04T00:00:00"/>
    <s v="CUST782"/>
    <x v="0"/>
    <n v="59"/>
    <x v="2"/>
    <x v="1"/>
    <n v="3"/>
    <n v="300"/>
    <n v="900"/>
    <n v="13.5"/>
  </r>
  <r>
    <n v="783"/>
    <n v="2023"/>
    <n v="12"/>
    <n v="17"/>
    <m/>
    <d v="2023-12-17T00:00:00"/>
    <s v="CUST783"/>
    <x v="1"/>
    <n v="56"/>
    <x v="2"/>
    <x v="1"/>
    <n v="1"/>
    <n v="300"/>
    <n v="300"/>
    <n v="4.5"/>
  </r>
  <r>
    <n v="784"/>
    <n v="2023"/>
    <n v="11"/>
    <n v="4"/>
    <m/>
    <d v="2023-11-04T00:00:00"/>
    <s v="CUST784"/>
    <x v="1"/>
    <n v="34"/>
    <x v="0"/>
    <x v="2"/>
    <n v="1"/>
    <n v="500"/>
    <n v="500"/>
    <n v="7.5"/>
  </r>
  <r>
    <n v="785"/>
    <n v="2023"/>
    <n v="3"/>
    <n v="3"/>
    <m/>
    <d v="2023-03-03T00:00:00"/>
    <s v="CUST785"/>
    <x v="1"/>
    <n v="31"/>
    <x v="0"/>
    <x v="0"/>
    <n v="4"/>
    <n v="50"/>
    <n v="200"/>
    <n v="3"/>
  </r>
  <r>
    <n v="786"/>
    <n v="2023"/>
    <n v="10"/>
    <n v="17"/>
    <m/>
    <d v="2023-10-17T00:00:00"/>
    <s v="CUST786"/>
    <x v="0"/>
    <n v="48"/>
    <x v="0"/>
    <x v="1"/>
    <n v="4"/>
    <n v="25"/>
    <n v="100"/>
    <n v="1.5"/>
  </r>
  <r>
    <n v="787"/>
    <n v="2023"/>
    <n v="1"/>
    <n v="22"/>
    <m/>
    <d v="2023-01-22T00:00:00"/>
    <s v="CUST787"/>
    <x v="0"/>
    <n v="41"/>
    <x v="0"/>
    <x v="2"/>
    <n v="1"/>
    <n v="25"/>
    <n v="25"/>
    <n v="0.375"/>
  </r>
  <r>
    <n v="788"/>
    <n v="2023"/>
    <n v="6"/>
    <n v="27"/>
    <m/>
    <d v="2023-06-27T00:00:00"/>
    <s v="CUST788"/>
    <x v="1"/>
    <n v="52"/>
    <x v="2"/>
    <x v="0"/>
    <n v="3"/>
    <n v="300"/>
    <n v="900"/>
    <n v="13.5"/>
  </r>
  <r>
    <n v="789"/>
    <n v="2023"/>
    <n v="9"/>
    <n v="30"/>
    <m/>
    <d v="2023-09-30T00:00:00"/>
    <s v="CUST789"/>
    <x v="1"/>
    <n v="61"/>
    <x v="2"/>
    <x v="1"/>
    <n v="4"/>
    <n v="500"/>
    <n v="2000"/>
    <n v="30"/>
  </r>
  <r>
    <n v="790"/>
    <n v="2023"/>
    <n v="8"/>
    <n v="8"/>
    <m/>
    <d v="2023-08-08T00:00:00"/>
    <s v="CUST790"/>
    <x v="0"/>
    <n v="62"/>
    <x v="2"/>
    <x v="1"/>
    <n v="1"/>
    <n v="25"/>
    <n v="25"/>
    <n v="0.375"/>
  </r>
  <r>
    <n v="791"/>
    <n v="2023"/>
    <n v="12"/>
    <n v="5"/>
    <m/>
    <d v="2023-12-05T00:00:00"/>
    <s v="CUST791"/>
    <x v="1"/>
    <n v="51"/>
    <x v="2"/>
    <x v="0"/>
    <n v="1"/>
    <n v="25"/>
    <n v="25"/>
    <n v="0.375"/>
  </r>
  <r>
    <n v="792"/>
    <n v="2023"/>
    <n v="7"/>
    <n v="9"/>
    <m/>
    <d v="2023-07-09T00:00:00"/>
    <s v="CUST792"/>
    <x v="1"/>
    <n v="20"/>
    <x v="1"/>
    <x v="0"/>
    <n v="1"/>
    <n v="50"/>
    <n v="50"/>
    <n v="0.75"/>
  </r>
  <r>
    <n v="793"/>
    <n v="2023"/>
    <n v="2"/>
    <n v="5"/>
    <m/>
    <d v="2023-02-05T00:00:00"/>
    <s v="CUST793"/>
    <x v="0"/>
    <n v="54"/>
    <x v="2"/>
    <x v="0"/>
    <n v="1"/>
    <n v="30"/>
    <n v="30"/>
    <n v="0.44999999999999996"/>
  </r>
  <r>
    <n v="794"/>
    <n v="2023"/>
    <n v="9"/>
    <n v="17"/>
    <m/>
    <d v="2023-09-17T00:00:00"/>
    <s v="CUST794"/>
    <x v="1"/>
    <n v="60"/>
    <x v="2"/>
    <x v="0"/>
    <n v="1"/>
    <n v="300"/>
    <n v="300"/>
    <n v="4.5"/>
  </r>
  <r>
    <n v="795"/>
    <n v="2023"/>
    <n v="11"/>
    <n v="28"/>
    <m/>
    <d v="2023-11-28T00:00:00"/>
    <s v="CUST795"/>
    <x v="0"/>
    <n v="57"/>
    <x v="2"/>
    <x v="2"/>
    <n v="1"/>
    <n v="300"/>
    <n v="300"/>
    <n v="4.5"/>
  </r>
  <r>
    <n v="796"/>
    <n v="2023"/>
    <n v="6"/>
    <n v="24"/>
    <m/>
    <d v="2023-06-24T00:00:00"/>
    <s v="CUST796"/>
    <x v="0"/>
    <n v="43"/>
    <x v="0"/>
    <x v="0"/>
    <n v="4"/>
    <n v="30"/>
    <n v="120"/>
    <n v="1.7999999999999998"/>
  </r>
  <r>
    <n v="797"/>
    <n v="2023"/>
    <n v="1"/>
    <n v="7"/>
    <m/>
    <d v="2023-01-07T00:00:00"/>
    <s v="CUST797"/>
    <x v="0"/>
    <n v="40"/>
    <x v="0"/>
    <x v="1"/>
    <n v="3"/>
    <n v="25"/>
    <n v="75"/>
    <n v="1.125"/>
  </r>
  <r>
    <n v="798"/>
    <n v="2023"/>
    <n v="8"/>
    <n v="4"/>
    <m/>
    <d v="2023-08-04T00:00:00"/>
    <s v="CUST798"/>
    <x v="0"/>
    <n v="61"/>
    <x v="2"/>
    <x v="1"/>
    <n v="1"/>
    <n v="50"/>
    <n v="50"/>
    <n v="0.75"/>
  </r>
  <r>
    <n v="799"/>
    <n v="2023"/>
    <n v="9"/>
    <n v="8"/>
    <m/>
    <d v="2023-09-08T00:00:00"/>
    <s v="CUST799"/>
    <x v="0"/>
    <n v="56"/>
    <x v="2"/>
    <x v="2"/>
    <n v="2"/>
    <n v="50"/>
    <n v="100"/>
    <n v="1.5"/>
  </r>
  <r>
    <n v="800"/>
    <n v="2023"/>
    <n v="2"/>
    <n v="24"/>
    <m/>
    <d v="2023-02-24T00:00:00"/>
    <s v="CUST800"/>
    <x v="0"/>
    <n v="32"/>
    <x v="0"/>
    <x v="1"/>
    <n v="4"/>
    <n v="300"/>
    <n v="1200"/>
    <n v="18"/>
  </r>
  <r>
    <n v="801"/>
    <n v="2023"/>
    <n v="8"/>
    <n v="10"/>
    <m/>
    <d v="2023-08-10T00:00:00"/>
    <s v="CUST801"/>
    <x v="0"/>
    <n v="21"/>
    <x v="1"/>
    <x v="1"/>
    <n v="4"/>
    <n v="50"/>
    <n v="200"/>
    <n v="3"/>
  </r>
  <r>
    <n v="802"/>
    <n v="2023"/>
    <n v="7"/>
    <n v="5"/>
    <m/>
    <d v="2023-07-05T00:00:00"/>
    <s v="CUST802"/>
    <x v="1"/>
    <n v="46"/>
    <x v="0"/>
    <x v="0"/>
    <n v="1"/>
    <n v="30"/>
    <n v="30"/>
    <n v="0.44999999999999996"/>
  </r>
  <r>
    <n v="803"/>
    <n v="2023"/>
    <n v="11"/>
    <n v="22"/>
    <m/>
    <d v="2023-11-22T00:00:00"/>
    <s v="CUST803"/>
    <x v="0"/>
    <n v="39"/>
    <x v="0"/>
    <x v="1"/>
    <n v="4"/>
    <n v="25"/>
    <n v="100"/>
    <n v="1.5"/>
  </r>
  <r>
    <n v="804"/>
    <n v="2023"/>
    <n v="8"/>
    <n v="24"/>
    <m/>
    <d v="2023-08-24T00:00:00"/>
    <s v="CUST804"/>
    <x v="0"/>
    <n v="42"/>
    <x v="0"/>
    <x v="2"/>
    <n v="1"/>
    <n v="30"/>
    <n v="30"/>
    <n v="0.44999999999999996"/>
  </r>
  <r>
    <n v="805"/>
    <n v="2023"/>
    <n v="12"/>
    <n v="29"/>
    <m/>
    <d v="2023-12-29T00:00:00"/>
    <s v="CUST805"/>
    <x v="1"/>
    <n v="30"/>
    <x v="0"/>
    <x v="0"/>
    <n v="3"/>
    <n v="500"/>
    <n v="1500"/>
    <n v="22.5"/>
  </r>
  <r>
    <n v="806"/>
    <n v="2023"/>
    <n v="3"/>
    <n v="20"/>
    <m/>
    <d v="2023-03-20T00:00:00"/>
    <s v="CUST806"/>
    <x v="1"/>
    <n v="35"/>
    <x v="0"/>
    <x v="0"/>
    <n v="3"/>
    <n v="300"/>
    <n v="900"/>
    <n v="13.5"/>
  </r>
  <r>
    <n v="807"/>
    <n v="2023"/>
    <n v="8"/>
    <n v="11"/>
    <m/>
    <d v="2023-08-11T00:00:00"/>
    <s v="CUST807"/>
    <x v="1"/>
    <n v="50"/>
    <x v="2"/>
    <x v="2"/>
    <n v="4"/>
    <n v="50"/>
    <n v="200"/>
    <n v="3"/>
  </r>
  <r>
    <n v="808"/>
    <n v="2023"/>
    <n v="4"/>
    <n v="1"/>
    <m/>
    <d v="2023-04-01T00:00:00"/>
    <s v="CUST808"/>
    <x v="0"/>
    <n v="33"/>
    <x v="0"/>
    <x v="0"/>
    <n v="4"/>
    <n v="500"/>
    <n v="2000"/>
    <n v="30"/>
  </r>
  <r>
    <n v="809"/>
    <n v="2023"/>
    <n v="9"/>
    <n v="25"/>
    <m/>
    <d v="2023-09-25T00:00:00"/>
    <s v="CUST809"/>
    <x v="1"/>
    <n v="62"/>
    <x v="2"/>
    <x v="0"/>
    <n v="2"/>
    <n v="50"/>
    <n v="100"/>
    <n v="1.5"/>
  </r>
  <r>
    <n v="810"/>
    <n v="2023"/>
    <n v="11"/>
    <n v="30"/>
    <m/>
    <d v="2023-11-30T00:00:00"/>
    <s v="CUST810"/>
    <x v="0"/>
    <n v="59"/>
    <x v="2"/>
    <x v="2"/>
    <n v="4"/>
    <n v="25"/>
    <n v="100"/>
    <n v="1.5"/>
  </r>
  <r>
    <n v="811"/>
    <n v="2023"/>
    <n v="5"/>
    <n v="19"/>
    <m/>
    <d v="2023-05-19T00:00:00"/>
    <s v="CUST811"/>
    <x v="0"/>
    <n v="61"/>
    <x v="2"/>
    <x v="0"/>
    <n v="2"/>
    <n v="25"/>
    <n v="50"/>
    <n v="0.75"/>
  </r>
  <r>
    <n v="812"/>
    <n v="2023"/>
    <n v="11"/>
    <n v="12"/>
    <m/>
    <d v="2023-11-12T00:00:00"/>
    <s v="CUST812"/>
    <x v="0"/>
    <n v="19"/>
    <x v="1"/>
    <x v="2"/>
    <n v="3"/>
    <n v="25"/>
    <n v="75"/>
    <n v="1.125"/>
  </r>
  <r>
    <n v="813"/>
    <n v="2023"/>
    <n v="10"/>
    <n v="3"/>
    <m/>
    <d v="2023-10-03T00:00:00"/>
    <s v="CUST813"/>
    <x v="0"/>
    <n v="52"/>
    <x v="2"/>
    <x v="2"/>
    <n v="3"/>
    <n v="50"/>
    <n v="150"/>
    <n v="2.25"/>
  </r>
  <r>
    <n v="814"/>
    <n v="2023"/>
    <n v="9"/>
    <n v="5"/>
    <m/>
    <d v="2023-09-05T00:00:00"/>
    <s v="CUST814"/>
    <x v="1"/>
    <n v="59"/>
    <x v="2"/>
    <x v="1"/>
    <n v="1"/>
    <n v="500"/>
    <n v="500"/>
    <n v="7.5"/>
  </r>
  <r>
    <n v="815"/>
    <n v="2023"/>
    <n v="8"/>
    <n v="27"/>
    <m/>
    <d v="2023-08-27T00:00:00"/>
    <s v="CUST815"/>
    <x v="1"/>
    <n v="51"/>
    <x v="2"/>
    <x v="1"/>
    <n v="3"/>
    <n v="25"/>
    <n v="75"/>
    <n v="1.125"/>
  </r>
  <r>
    <n v="816"/>
    <n v="2023"/>
    <n v="8"/>
    <n v="12"/>
    <m/>
    <d v="2023-08-12T00:00:00"/>
    <s v="CUST816"/>
    <x v="0"/>
    <n v="47"/>
    <x v="0"/>
    <x v="0"/>
    <n v="2"/>
    <n v="500"/>
    <n v="1000"/>
    <n v="15"/>
  </r>
  <r>
    <n v="817"/>
    <n v="2023"/>
    <n v="10"/>
    <n v="31"/>
    <m/>
    <d v="2023-10-31T00:00:00"/>
    <s v="CUST817"/>
    <x v="0"/>
    <n v="30"/>
    <x v="0"/>
    <x v="0"/>
    <n v="4"/>
    <n v="50"/>
    <n v="200"/>
    <n v="3"/>
  </r>
  <r>
    <n v="818"/>
    <n v="2023"/>
    <n v="5"/>
    <n v="18"/>
    <m/>
    <d v="2023-05-18T00:00:00"/>
    <s v="CUST818"/>
    <x v="0"/>
    <n v="30"/>
    <x v="0"/>
    <x v="2"/>
    <n v="1"/>
    <n v="500"/>
    <n v="500"/>
    <n v="7.5"/>
  </r>
  <r>
    <n v="819"/>
    <n v="2023"/>
    <n v="6"/>
    <n v="15"/>
    <m/>
    <d v="2023-06-15T00:00:00"/>
    <s v="CUST819"/>
    <x v="1"/>
    <n v="35"/>
    <x v="0"/>
    <x v="0"/>
    <n v="2"/>
    <n v="50"/>
    <n v="100"/>
    <n v="1.5"/>
  </r>
  <r>
    <n v="820"/>
    <n v="2023"/>
    <n v="5"/>
    <n v="6"/>
    <m/>
    <d v="2023-05-06T00:00:00"/>
    <s v="CUST820"/>
    <x v="0"/>
    <n v="49"/>
    <x v="0"/>
    <x v="2"/>
    <n v="4"/>
    <n v="50"/>
    <n v="200"/>
    <n v="3"/>
  </r>
  <r>
    <n v="821"/>
    <n v="2023"/>
    <n v="2"/>
    <n v="14"/>
    <m/>
    <d v="2023-02-14T00:00:00"/>
    <s v="CUST821"/>
    <x v="0"/>
    <n v="49"/>
    <x v="0"/>
    <x v="2"/>
    <n v="1"/>
    <n v="300"/>
    <n v="300"/>
    <n v="4.5"/>
  </r>
  <r>
    <n v="822"/>
    <n v="2023"/>
    <n v="5"/>
    <n v="23"/>
    <m/>
    <d v="2023-05-23T00:00:00"/>
    <s v="CUST822"/>
    <x v="1"/>
    <n v="52"/>
    <x v="2"/>
    <x v="0"/>
    <n v="3"/>
    <n v="50"/>
    <n v="150"/>
    <n v="2.25"/>
  </r>
  <r>
    <n v="823"/>
    <n v="2023"/>
    <n v="8"/>
    <n v="19"/>
    <m/>
    <d v="2023-08-19T00:00:00"/>
    <s v="CUST823"/>
    <x v="1"/>
    <n v="56"/>
    <x v="2"/>
    <x v="2"/>
    <n v="2"/>
    <n v="50"/>
    <n v="100"/>
    <n v="1.5"/>
  </r>
  <r>
    <n v="824"/>
    <n v="2023"/>
    <n v="5"/>
    <n v="5"/>
    <m/>
    <d v="2023-05-05T00:00:00"/>
    <s v="CUST824"/>
    <x v="0"/>
    <n v="63"/>
    <x v="2"/>
    <x v="1"/>
    <n v="4"/>
    <n v="30"/>
    <n v="120"/>
    <n v="1.7999999999999998"/>
  </r>
  <r>
    <n v="825"/>
    <n v="2023"/>
    <n v="8"/>
    <n v="26"/>
    <m/>
    <d v="2023-08-26T00:00:00"/>
    <s v="CUST825"/>
    <x v="1"/>
    <n v="46"/>
    <x v="0"/>
    <x v="0"/>
    <n v="1"/>
    <n v="25"/>
    <n v="25"/>
    <n v="0.375"/>
  </r>
  <r>
    <n v="826"/>
    <n v="2023"/>
    <n v="10"/>
    <n v="19"/>
    <m/>
    <d v="2023-10-19T00:00:00"/>
    <s v="CUST826"/>
    <x v="1"/>
    <n v="46"/>
    <x v="0"/>
    <x v="1"/>
    <n v="1"/>
    <n v="300"/>
    <n v="300"/>
    <n v="4.5"/>
  </r>
  <r>
    <n v="827"/>
    <n v="2023"/>
    <n v="11"/>
    <n v="9"/>
    <m/>
    <d v="2023-11-09T00:00:00"/>
    <s v="CUST827"/>
    <x v="0"/>
    <n v="61"/>
    <x v="2"/>
    <x v="0"/>
    <n v="3"/>
    <n v="300"/>
    <n v="900"/>
    <n v="13.5"/>
  </r>
  <r>
    <n v="828"/>
    <n v="2023"/>
    <n v="12"/>
    <n v="9"/>
    <m/>
    <d v="2023-12-09T00:00:00"/>
    <s v="CUST828"/>
    <x v="1"/>
    <n v="33"/>
    <x v="0"/>
    <x v="2"/>
    <n v="4"/>
    <n v="300"/>
    <n v="1200"/>
    <n v="18"/>
  </r>
  <r>
    <n v="829"/>
    <n v="2023"/>
    <n v="7"/>
    <n v="14"/>
    <m/>
    <d v="2023-07-14T00:00:00"/>
    <s v="CUST829"/>
    <x v="0"/>
    <n v="61"/>
    <x v="2"/>
    <x v="0"/>
    <n v="3"/>
    <n v="30"/>
    <n v="90"/>
    <n v="1.3499999999999999"/>
  </r>
  <r>
    <n v="830"/>
    <n v="2023"/>
    <n v="6"/>
    <n v="22"/>
    <m/>
    <d v="2023-06-22T00:00:00"/>
    <s v="CUST830"/>
    <x v="1"/>
    <n v="64"/>
    <x v="2"/>
    <x v="1"/>
    <n v="3"/>
    <n v="50"/>
    <n v="150"/>
    <n v="2.25"/>
  </r>
  <r>
    <n v="831"/>
    <n v="2023"/>
    <n v="1"/>
    <n v="15"/>
    <m/>
    <d v="2023-01-15T00:00:00"/>
    <s v="CUST831"/>
    <x v="0"/>
    <n v="27"/>
    <x v="1"/>
    <x v="2"/>
    <n v="4"/>
    <n v="25"/>
    <n v="100"/>
    <n v="1.5"/>
  </r>
  <r>
    <n v="832"/>
    <n v="2023"/>
    <n v="9"/>
    <n v="11"/>
    <m/>
    <d v="2023-09-11T00:00:00"/>
    <s v="CUST832"/>
    <x v="0"/>
    <n v="47"/>
    <x v="0"/>
    <x v="0"/>
    <n v="4"/>
    <n v="500"/>
    <n v="2000"/>
    <n v="30"/>
  </r>
  <r>
    <n v="833"/>
    <n v="2023"/>
    <n v="6"/>
    <n v="16"/>
    <m/>
    <d v="2023-06-16T00:00:00"/>
    <s v="CUST833"/>
    <x v="0"/>
    <n v="42"/>
    <x v="0"/>
    <x v="0"/>
    <n v="4"/>
    <n v="50"/>
    <n v="200"/>
    <n v="3"/>
  </r>
  <r>
    <n v="834"/>
    <n v="2023"/>
    <n v="4"/>
    <n v="4"/>
    <m/>
    <d v="2023-04-04T00:00:00"/>
    <s v="CUST834"/>
    <x v="1"/>
    <n v="56"/>
    <x v="2"/>
    <x v="0"/>
    <n v="2"/>
    <n v="30"/>
    <n v="60"/>
    <n v="0.89999999999999991"/>
  </r>
  <r>
    <n v="835"/>
    <n v="2023"/>
    <n v="9"/>
    <n v="7"/>
    <m/>
    <d v="2023-09-07T00:00:00"/>
    <s v="CUST835"/>
    <x v="0"/>
    <n v="37"/>
    <x v="0"/>
    <x v="1"/>
    <n v="4"/>
    <n v="50"/>
    <n v="200"/>
    <n v="3"/>
  </r>
  <r>
    <n v="836"/>
    <n v="2023"/>
    <n v="4"/>
    <n v="19"/>
    <m/>
    <d v="2023-04-19T00:00:00"/>
    <s v="CUST836"/>
    <x v="1"/>
    <n v="22"/>
    <x v="1"/>
    <x v="1"/>
    <n v="1"/>
    <n v="50"/>
    <n v="50"/>
    <n v="0.75"/>
  </r>
  <r>
    <n v="837"/>
    <n v="2023"/>
    <n v="7"/>
    <n v="1"/>
    <m/>
    <d v="2023-07-01T00:00:00"/>
    <s v="CUST837"/>
    <x v="0"/>
    <n v="18"/>
    <x v="1"/>
    <x v="0"/>
    <n v="3"/>
    <n v="30"/>
    <n v="90"/>
    <n v="1.3499999999999999"/>
  </r>
  <r>
    <n v="838"/>
    <n v="2023"/>
    <n v="5"/>
    <n v="13"/>
    <m/>
    <d v="2023-05-13T00:00:00"/>
    <s v="CUST838"/>
    <x v="0"/>
    <n v="47"/>
    <x v="0"/>
    <x v="2"/>
    <n v="2"/>
    <n v="300"/>
    <n v="600"/>
    <n v="9"/>
  </r>
  <r>
    <n v="839"/>
    <n v="2023"/>
    <n v="6"/>
    <n v="24"/>
    <m/>
    <d v="2023-06-24T00:00:00"/>
    <s v="CUST839"/>
    <x v="1"/>
    <n v="20"/>
    <x v="1"/>
    <x v="2"/>
    <n v="4"/>
    <n v="300"/>
    <n v="1200"/>
    <n v="18"/>
  </r>
  <r>
    <n v="840"/>
    <n v="2023"/>
    <n v="5"/>
    <n v="24"/>
    <m/>
    <d v="2023-05-24T00:00:00"/>
    <s v="CUST840"/>
    <x v="0"/>
    <n v="62"/>
    <x v="2"/>
    <x v="1"/>
    <n v="2"/>
    <n v="25"/>
    <n v="50"/>
    <n v="0.75"/>
  </r>
  <r>
    <n v="841"/>
    <n v="2023"/>
    <n v="11"/>
    <n v="2"/>
    <m/>
    <d v="2023-11-02T00:00:00"/>
    <s v="CUST841"/>
    <x v="0"/>
    <n v="31"/>
    <x v="0"/>
    <x v="2"/>
    <n v="4"/>
    <n v="25"/>
    <n v="100"/>
    <n v="1.5"/>
  </r>
  <r>
    <n v="842"/>
    <n v="2023"/>
    <n v="12"/>
    <n v="26"/>
    <m/>
    <d v="2023-12-26T00:00:00"/>
    <s v="CUST842"/>
    <x v="1"/>
    <n v="47"/>
    <x v="0"/>
    <x v="1"/>
    <n v="2"/>
    <n v="300"/>
    <n v="600"/>
    <n v="9"/>
  </r>
  <r>
    <n v="843"/>
    <n v="2023"/>
    <n v="5"/>
    <n v="22"/>
    <m/>
    <d v="2023-05-22T00:00:00"/>
    <s v="CUST843"/>
    <x v="0"/>
    <n v="21"/>
    <x v="1"/>
    <x v="0"/>
    <n v="3"/>
    <n v="500"/>
    <n v="1500"/>
    <n v="22.5"/>
  </r>
  <r>
    <n v="844"/>
    <n v="2023"/>
    <n v="10"/>
    <n v="12"/>
    <m/>
    <d v="2023-10-12T00:00:00"/>
    <s v="CUST844"/>
    <x v="0"/>
    <n v="35"/>
    <x v="0"/>
    <x v="1"/>
    <n v="3"/>
    <n v="50"/>
    <n v="150"/>
    <n v="2.25"/>
  </r>
  <r>
    <n v="845"/>
    <n v="2023"/>
    <n v="1"/>
    <n v="6"/>
    <m/>
    <d v="2023-01-06T00:00:00"/>
    <s v="CUST845"/>
    <x v="0"/>
    <n v="54"/>
    <x v="2"/>
    <x v="1"/>
    <n v="1"/>
    <n v="500"/>
    <n v="500"/>
    <n v="7.5"/>
  </r>
  <r>
    <n v="846"/>
    <n v="2023"/>
    <n v="9"/>
    <n v="22"/>
    <m/>
    <d v="2023-09-22T00:00:00"/>
    <s v="CUST846"/>
    <x v="0"/>
    <n v="42"/>
    <x v="0"/>
    <x v="0"/>
    <n v="1"/>
    <n v="50"/>
    <n v="50"/>
    <n v="0.75"/>
  </r>
  <r>
    <n v="847"/>
    <n v="2023"/>
    <n v="4"/>
    <n v="8"/>
    <m/>
    <d v="2023-04-08T00:00:00"/>
    <s v="CUST847"/>
    <x v="1"/>
    <n v="18"/>
    <x v="1"/>
    <x v="2"/>
    <n v="4"/>
    <n v="300"/>
    <n v="1200"/>
    <n v="18"/>
  </r>
  <r>
    <n v="848"/>
    <n v="2023"/>
    <n v="2"/>
    <n v="13"/>
    <m/>
    <d v="2023-02-13T00:00:00"/>
    <s v="CUST848"/>
    <x v="1"/>
    <n v="63"/>
    <x v="2"/>
    <x v="1"/>
    <n v="3"/>
    <n v="25"/>
    <n v="75"/>
    <n v="1.125"/>
  </r>
  <r>
    <n v="849"/>
    <n v="2023"/>
    <n v="5"/>
    <n v="4"/>
    <m/>
    <d v="2023-05-04T00:00:00"/>
    <s v="CUST849"/>
    <x v="0"/>
    <n v="32"/>
    <x v="0"/>
    <x v="1"/>
    <n v="2"/>
    <n v="25"/>
    <n v="50"/>
    <n v="0.75"/>
  </r>
  <r>
    <n v="850"/>
    <n v="2023"/>
    <n v="7"/>
    <n v="28"/>
    <m/>
    <d v="2023-07-28T00:00:00"/>
    <s v="CUST850"/>
    <x v="1"/>
    <n v="26"/>
    <x v="1"/>
    <x v="0"/>
    <n v="2"/>
    <n v="500"/>
    <n v="1000"/>
    <n v="15"/>
  </r>
  <r>
    <n v="851"/>
    <n v="2023"/>
    <n v="9"/>
    <n v="8"/>
    <m/>
    <d v="2023-09-08T00:00:00"/>
    <s v="CUST851"/>
    <x v="0"/>
    <n v="32"/>
    <x v="0"/>
    <x v="2"/>
    <n v="2"/>
    <n v="25"/>
    <n v="50"/>
    <n v="0.75"/>
  </r>
  <r>
    <n v="852"/>
    <n v="2023"/>
    <n v="10"/>
    <n v="12"/>
    <m/>
    <d v="2023-10-12T00:00:00"/>
    <s v="CUST852"/>
    <x v="1"/>
    <n v="41"/>
    <x v="0"/>
    <x v="1"/>
    <n v="1"/>
    <n v="300"/>
    <n v="300"/>
    <n v="4.5"/>
  </r>
  <r>
    <n v="853"/>
    <n v="2023"/>
    <n v="5"/>
    <n v="4"/>
    <m/>
    <d v="2023-05-04T00:00:00"/>
    <s v="CUST853"/>
    <x v="0"/>
    <n v="21"/>
    <x v="1"/>
    <x v="0"/>
    <n v="2"/>
    <n v="500"/>
    <n v="1000"/>
    <n v="15"/>
  </r>
  <r>
    <n v="854"/>
    <n v="2023"/>
    <n v="12"/>
    <n v="20"/>
    <m/>
    <d v="2023-12-20T00:00:00"/>
    <s v="CUST854"/>
    <x v="0"/>
    <n v="29"/>
    <x v="1"/>
    <x v="1"/>
    <n v="1"/>
    <n v="50"/>
    <n v="50"/>
    <n v="0.75"/>
  </r>
  <r>
    <n v="855"/>
    <n v="2023"/>
    <n v="9"/>
    <n v="1"/>
    <m/>
    <d v="2023-09-01T00:00:00"/>
    <s v="CUST855"/>
    <x v="0"/>
    <n v="54"/>
    <x v="2"/>
    <x v="0"/>
    <n v="1"/>
    <n v="25"/>
    <n v="25"/>
    <n v="0.375"/>
  </r>
  <r>
    <n v="856"/>
    <n v="2023"/>
    <n v="11"/>
    <n v="27"/>
    <m/>
    <d v="2023-11-27T00:00:00"/>
    <s v="CUST856"/>
    <x v="0"/>
    <n v="54"/>
    <x v="2"/>
    <x v="2"/>
    <n v="4"/>
    <n v="30"/>
    <n v="120"/>
    <n v="1.7999999999999998"/>
  </r>
  <r>
    <n v="857"/>
    <n v="2023"/>
    <n v="12"/>
    <n v="31"/>
    <m/>
    <d v="2023-12-31T00:00:00"/>
    <s v="CUST857"/>
    <x v="0"/>
    <n v="60"/>
    <x v="2"/>
    <x v="2"/>
    <n v="2"/>
    <n v="25"/>
    <n v="50"/>
    <n v="0.75"/>
  </r>
  <r>
    <n v="858"/>
    <n v="2023"/>
    <n v="9"/>
    <n v="9"/>
    <m/>
    <d v="2023-09-09T00:00:00"/>
    <s v="CUST858"/>
    <x v="0"/>
    <n v="23"/>
    <x v="1"/>
    <x v="2"/>
    <n v="2"/>
    <n v="50"/>
    <n v="100"/>
    <n v="1.5"/>
  </r>
  <r>
    <n v="859"/>
    <n v="2023"/>
    <n v="8"/>
    <n v="18"/>
    <m/>
    <d v="2023-08-18T00:00:00"/>
    <s v="CUST859"/>
    <x v="1"/>
    <n v="56"/>
    <x v="2"/>
    <x v="2"/>
    <n v="3"/>
    <n v="500"/>
    <n v="1500"/>
    <n v="22.5"/>
  </r>
  <r>
    <n v="860"/>
    <n v="2023"/>
    <n v="1"/>
    <n v="9"/>
    <m/>
    <d v="2023-01-09T00:00:00"/>
    <s v="CUST860"/>
    <x v="0"/>
    <n v="63"/>
    <x v="2"/>
    <x v="1"/>
    <n v="4"/>
    <n v="50"/>
    <n v="200"/>
    <n v="3"/>
  </r>
  <r>
    <n v="861"/>
    <n v="2023"/>
    <n v="2"/>
    <n v="17"/>
    <m/>
    <d v="2023-02-17T00:00:00"/>
    <s v="CUST861"/>
    <x v="1"/>
    <n v="41"/>
    <x v="0"/>
    <x v="1"/>
    <n v="3"/>
    <n v="30"/>
    <n v="90"/>
    <n v="1.3499999999999999"/>
  </r>
  <r>
    <n v="862"/>
    <n v="2023"/>
    <n v="5"/>
    <n v="31"/>
    <m/>
    <d v="2023-05-31T00:00:00"/>
    <s v="CUST862"/>
    <x v="0"/>
    <n v="28"/>
    <x v="1"/>
    <x v="2"/>
    <n v="4"/>
    <n v="300"/>
    <n v="1200"/>
    <n v="18"/>
  </r>
  <r>
    <n v="863"/>
    <n v="2023"/>
    <n v="4"/>
    <n v="24"/>
    <m/>
    <d v="2023-04-24T00:00:00"/>
    <s v="CUST863"/>
    <x v="1"/>
    <n v="30"/>
    <x v="0"/>
    <x v="2"/>
    <n v="2"/>
    <n v="25"/>
    <n v="50"/>
    <n v="0.75"/>
  </r>
  <r>
    <n v="864"/>
    <n v="2023"/>
    <n v="7"/>
    <n v="27"/>
    <m/>
    <d v="2023-07-27T00:00:00"/>
    <s v="CUST864"/>
    <x v="1"/>
    <n v="51"/>
    <x v="2"/>
    <x v="2"/>
    <n v="1"/>
    <n v="500"/>
    <n v="500"/>
    <n v="7.5"/>
  </r>
  <r>
    <n v="865"/>
    <n v="2023"/>
    <n v="12"/>
    <n v="21"/>
    <m/>
    <d v="2023-12-21T00:00:00"/>
    <s v="CUST865"/>
    <x v="1"/>
    <n v="42"/>
    <x v="0"/>
    <x v="1"/>
    <n v="1"/>
    <n v="300"/>
    <n v="300"/>
    <n v="4.5"/>
  </r>
  <r>
    <n v="866"/>
    <n v="2023"/>
    <n v="5"/>
    <n v="5"/>
    <m/>
    <d v="2023-05-05T00:00:00"/>
    <s v="CUST866"/>
    <x v="0"/>
    <n v="24"/>
    <x v="1"/>
    <x v="2"/>
    <n v="1"/>
    <n v="50"/>
    <n v="50"/>
    <n v="0.75"/>
  </r>
  <r>
    <n v="867"/>
    <n v="2023"/>
    <n v="6"/>
    <n v="6"/>
    <m/>
    <d v="2023-06-06T00:00:00"/>
    <s v="CUST867"/>
    <x v="0"/>
    <n v="21"/>
    <x v="1"/>
    <x v="2"/>
    <n v="1"/>
    <n v="500"/>
    <n v="500"/>
    <n v="7.5"/>
  </r>
  <r>
    <n v="868"/>
    <n v="2023"/>
    <n v="12"/>
    <n v="6"/>
    <m/>
    <d v="2023-12-06T00:00:00"/>
    <s v="CUST868"/>
    <x v="1"/>
    <n v="25"/>
    <x v="1"/>
    <x v="2"/>
    <n v="1"/>
    <n v="300"/>
    <n v="300"/>
    <n v="4.5"/>
  </r>
  <r>
    <n v="869"/>
    <n v="2023"/>
    <n v="10"/>
    <n v="25"/>
    <m/>
    <d v="2023-10-25T00:00:00"/>
    <s v="CUST869"/>
    <x v="0"/>
    <n v="37"/>
    <x v="0"/>
    <x v="0"/>
    <n v="3"/>
    <n v="500"/>
    <n v="1500"/>
    <n v="22.5"/>
  </r>
  <r>
    <n v="870"/>
    <n v="2023"/>
    <n v="7"/>
    <n v="8"/>
    <m/>
    <d v="2023-07-08T00:00:00"/>
    <s v="CUST870"/>
    <x v="1"/>
    <n v="46"/>
    <x v="0"/>
    <x v="2"/>
    <n v="4"/>
    <n v="30"/>
    <n v="120"/>
    <n v="1.7999999999999998"/>
  </r>
  <r>
    <n v="871"/>
    <n v="2023"/>
    <n v="8"/>
    <n v="31"/>
    <m/>
    <d v="2023-08-31T00:00:00"/>
    <s v="CUST871"/>
    <x v="0"/>
    <n v="62"/>
    <x v="2"/>
    <x v="0"/>
    <n v="2"/>
    <n v="30"/>
    <n v="60"/>
    <n v="0.89999999999999991"/>
  </r>
  <r>
    <n v="872"/>
    <n v="2023"/>
    <n v="10"/>
    <n v="11"/>
    <m/>
    <d v="2023-10-11T00:00:00"/>
    <s v="CUST872"/>
    <x v="1"/>
    <n v="63"/>
    <x v="2"/>
    <x v="0"/>
    <n v="3"/>
    <n v="25"/>
    <n v="75"/>
    <n v="1.125"/>
  </r>
  <r>
    <n v="873"/>
    <n v="2023"/>
    <n v="9"/>
    <n v="29"/>
    <m/>
    <d v="2023-09-29T00:00:00"/>
    <s v="CUST873"/>
    <x v="1"/>
    <n v="27"/>
    <x v="1"/>
    <x v="2"/>
    <n v="4"/>
    <n v="25"/>
    <n v="100"/>
    <n v="1.5"/>
  </r>
  <r>
    <n v="874"/>
    <n v="2023"/>
    <n v="6"/>
    <n v="26"/>
    <m/>
    <d v="2023-06-26T00:00:00"/>
    <s v="CUST874"/>
    <x v="0"/>
    <n v="60"/>
    <x v="2"/>
    <x v="0"/>
    <n v="1"/>
    <n v="30"/>
    <n v="30"/>
    <n v="0.44999999999999996"/>
  </r>
  <r>
    <n v="875"/>
    <n v="2023"/>
    <n v="8"/>
    <n v="6"/>
    <m/>
    <d v="2023-08-06T00:00:00"/>
    <s v="CUST875"/>
    <x v="1"/>
    <n v="51"/>
    <x v="2"/>
    <x v="2"/>
    <n v="4"/>
    <n v="500"/>
    <n v="2000"/>
    <n v="30"/>
  </r>
  <r>
    <n v="876"/>
    <n v="2023"/>
    <n v="10"/>
    <n v="9"/>
    <m/>
    <d v="2023-10-09T00:00:00"/>
    <s v="CUST876"/>
    <x v="0"/>
    <n v="43"/>
    <x v="0"/>
    <x v="1"/>
    <n v="4"/>
    <n v="30"/>
    <n v="120"/>
    <n v="1.7999999999999998"/>
  </r>
  <r>
    <n v="877"/>
    <n v="2023"/>
    <n v="6"/>
    <n v="19"/>
    <m/>
    <d v="2023-06-19T00:00:00"/>
    <s v="CUST877"/>
    <x v="1"/>
    <n v="58"/>
    <x v="2"/>
    <x v="1"/>
    <n v="1"/>
    <n v="25"/>
    <n v="25"/>
    <n v="0.375"/>
  </r>
  <r>
    <n v="878"/>
    <n v="2023"/>
    <n v="6"/>
    <n v="30"/>
    <m/>
    <d v="2023-06-30T00:00:00"/>
    <s v="CUST878"/>
    <x v="1"/>
    <n v="20"/>
    <x v="1"/>
    <x v="1"/>
    <n v="1"/>
    <n v="30"/>
    <n v="30"/>
    <n v="0.44999999999999996"/>
  </r>
  <r>
    <n v="879"/>
    <n v="2023"/>
    <n v="12"/>
    <n v="26"/>
    <m/>
    <d v="2023-12-26T00:00:00"/>
    <s v="CUST879"/>
    <x v="0"/>
    <n v="23"/>
    <x v="1"/>
    <x v="1"/>
    <n v="1"/>
    <n v="30"/>
    <n v="30"/>
    <n v="0.44999999999999996"/>
  </r>
  <r>
    <n v="880"/>
    <n v="2023"/>
    <n v="8"/>
    <n v="21"/>
    <m/>
    <d v="2023-08-21T00:00:00"/>
    <s v="CUST880"/>
    <x v="0"/>
    <n v="22"/>
    <x v="1"/>
    <x v="0"/>
    <n v="2"/>
    <n v="500"/>
    <n v="1000"/>
    <n v="15"/>
  </r>
  <r>
    <n v="881"/>
    <n v="2023"/>
    <n v="5"/>
    <n v="19"/>
    <m/>
    <d v="2023-05-19T00:00:00"/>
    <s v="CUST881"/>
    <x v="0"/>
    <n v="22"/>
    <x v="1"/>
    <x v="2"/>
    <n v="1"/>
    <n v="300"/>
    <n v="300"/>
    <n v="4.5"/>
  </r>
  <r>
    <n v="882"/>
    <n v="2023"/>
    <n v="6"/>
    <n v="6"/>
    <m/>
    <d v="2023-06-06T00:00:00"/>
    <s v="CUST882"/>
    <x v="1"/>
    <n v="64"/>
    <x v="2"/>
    <x v="2"/>
    <n v="2"/>
    <n v="25"/>
    <n v="50"/>
    <n v="0.75"/>
  </r>
  <r>
    <n v="883"/>
    <n v="2023"/>
    <n v="5"/>
    <n v="9"/>
    <m/>
    <d v="2023-05-09T00:00:00"/>
    <s v="CUST883"/>
    <x v="0"/>
    <n v="40"/>
    <x v="0"/>
    <x v="2"/>
    <n v="1"/>
    <n v="500"/>
    <n v="500"/>
    <n v="7.5"/>
  </r>
  <r>
    <n v="884"/>
    <n v="2023"/>
    <n v="4"/>
    <n v="29"/>
    <m/>
    <d v="2023-04-29T00:00:00"/>
    <s v="CUST884"/>
    <x v="1"/>
    <n v="26"/>
    <x v="1"/>
    <x v="1"/>
    <n v="2"/>
    <n v="30"/>
    <n v="60"/>
    <n v="0.89999999999999991"/>
  </r>
  <r>
    <n v="885"/>
    <n v="2023"/>
    <n v="3"/>
    <n v="3"/>
    <m/>
    <d v="2023-03-03T00:00:00"/>
    <s v="CUST885"/>
    <x v="1"/>
    <n v="52"/>
    <x v="2"/>
    <x v="1"/>
    <n v="4"/>
    <n v="30"/>
    <n v="120"/>
    <n v="1.7999999999999998"/>
  </r>
  <r>
    <n v="886"/>
    <n v="2023"/>
    <n v="4"/>
    <n v="9"/>
    <m/>
    <d v="2023-04-09T00:00:00"/>
    <s v="CUST886"/>
    <x v="0"/>
    <n v="37"/>
    <x v="0"/>
    <x v="2"/>
    <n v="3"/>
    <n v="300"/>
    <n v="900"/>
    <n v="13.5"/>
  </r>
  <r>
    <n v="887"/>
    <n v="2023"/>
    <n v="6"/>
    <n v="11"/>
    <m/>
    <d v="2023-06-11T00:00:00"/>
    <s v="CUST887"/>
    <x v="0"/>
    <n v="59"/>
    <x v="2"/>
    <x v="1"/>
    <n v="4"/>
    <n v="25"/>
    <n v="100"/>
    <n v="1.5"/>
  </r>
  <r>
    <n v="888"/>
    <n v="2023"/>
    <n v="3"/>
    <n v="3"/>
    <m/>
    <d v="2023-03-03T00:00:00"/>
    <s v="CUST888"/>
    <x v="1"/>
    <n v="52"/>
    <x v="2"/>
    <x v="2"/>
    <n v="4"/>
    <n v="25"/>
    <n v="100"/>
    <n v="1.5"/>
  </r>
  <r>
    <n v="889"/>
    <n v="2023"/>
    <n v="10"/>
    <n v="2"/>
    <m/>
    <d v="2023-10-02T00:00:00"/>
    <s v="CUST889"/>
    <x v="1"/>
    <n v="35"/>
    <x v="0"/>
    <x v="2"/>
    <n v="1"/>
    <n v="50"/>
    <n v="50"/>
    <n v="0.75"/>
  </r>
  <r>
    <n v="890"/>
    <n v="2023"/>
    <n v="12"/>
    <n v="20"/>
    <m/>
    <d v="2023-12-20T00:00:00"/>
    <s v="CUST890"/>
    <x v="0"/>
    <n v="34"/>
    <x v="0"/>
    <x v="2"/>
    <n v="2"/>
    <n v="25"/>
    <n v="50"/>
    <n v="0.75"/>
  </r>
  <r>
    <n v="891"/>
    <n v="2023"/>
    <n v="4"/>
    <n v="5"/>
    <m/>
    <d v="2023-04-05T00:00:00"/>
    <s v="CUST891"/>
    <x v="0"/>
    <n v="41"/>
    <x v="0"/>
    <x v="2"/>
    <n v="3"/>
    <n v="300"/>
    <n v="900"/>
    <n v="13.5"/>
  </r>
  <r>
    <n v="892"/>
    <n v="2023"/>
    <n v="4"/>
    <n v="9"/>
    <m/>
    <d v="2023-04-09T00:00:00"/>
    <s v="CUST892"/>
    <x v="0"/>
    <n v="20"/>
    <x v="1"/>
    <x v="2"/>
    <n v="1"/>
    <n v="50"/>
    <n v="50"/>
    <n v="0.75"/>
  </r>
  <r>
    <n v="893"/>
    <n v="2023"/>
    <n v="4"/>
    <n v="21"/>
    <m/>
    <d v="2023-04-21T00:00:00"/>
    <s v="CUST893"/>
    <x v="0"/>
    <n v="49"/>
    <x v="0"/>
    <x v="2"/>
    <n v="1"/>
    <n v="50"/>
    <n v="50"/>
    <n v="0.75"/>
  </r>
  <r>
    <n v="894"/>
    <n v="2023"/>
    <n v="9"/>
    <n v="5"/>
    <m/>
    <d v="2023-09-05T00:00:00"/>
    <s v="CUST894"/>
    <x v="0"/>
    <n v="52"/>
    <x v="2"/>
    <x v="2"/>
    <n v="1"/>
    <n v="30"/>
    <n v="30"/>
    <n v="0.44999999999999996"/>
  </r>
  <r>
    <n v="895"/>
    <n v="2023"/>
    <n v="5"/>
    <n v="22"/>
    <m/>
    <d v="2023-05-22T00:00:00"/>
    <s v="CUST895"/>
    <x v="1"/>
    <n v="55"/>
    <x v="2"/>
    <x v="1"/>
    <n v="4"/>
    <n v="30"/>
    <n v="120"/>
    <n v="1.7999999999999998"/>
  </r>
  <r>
    <n v="896"/>
    <n v="2023"/>
    <n v="10"/>
    <n v="29"/>
    <m/>
    <d v="2023-10-29T00:00:00"/>
    <s v="CUST896"/>
    <x v="1"/>
    <n v="30"/>
    <x v="0"/>
    <x v="2"/>
    <n v="2"/>
    <n v="25"/>
    <n v="50"/>
    <n v="0.75"/>
  </r>
  <r>
    <n v="897"/>
    <n v="2023"/>
    <n v="9"/>
    <n v="26"/>
    <m/>
    <d v="2023-09-26T00:00:00"/>
    <s v="CUST897"/>
    <x v="1"/>
    <n v="64"/>
    <x v="2"/>
    <x v="2"/>
    <n v="2"/>
    <n v="50"/>
    <n v="100"/>
    <n v="1.5"/>
  </r>
  <r>
    <n v="898"/>
    <n v="2023"/>
    <n v="11"/>
    <n v="2"/>
    <m/>
    <d v="2023-11-02T00:00:00"/>
    <s v="CUST898"/>
    <x v="1"/>
    <n v="42"/>
    <x v="0"/>
    <x v="1"/>
    <n v="3"/>
    <n v="30"/>
    <n v="90"/>
    <n v="1.3499999999999999"/>
  </r>
  <r>
    <n v="899"/>
    <n v="2023"/>
    <n v="5"/>
    <n v="25"/>
    <m/>
    <d v="2023-05-25T00:00:00"/>
    <s v="CUST899"/>
    <x v="0"/>
    <n v="26"/>
    <x v="1"/>
    <x v="1"/>
    <n v="2"/>
    <n v="300"/>
    <n v="600"/>
    <n v="9"/>
  </r>
  <r>
    <n v="900"/>
    <n v="2023"/>
    <n v="2"/>
    <n v="21"/>
    <m/>
    <d v="2023-02-21T00:00:00"/>
    <s v="CUST900"/>
    <x v="0"/>
    <n v="21"/>
    <x v="1"/>
    <x v="1"/>
    <n v="2"/>
    <n v="30"/>
    <n v="60"/>
    <n v="0.89999999999999991"/>
  </r>
  <r>
    <n v="901"/>
    <n v="2023"/>
    <n v="4"/>
    <n v="10"/>
    <m/>
    <d v="2023-04-10T00:00:00"/>
    <s v="CUST901"/>
    <x v="0"/>
    <n v="31"/>
    <x v="0"/>
    <x v="2"/>
    <n v="1"/>
    <n v="30"/>
    <n v="30"/>
    <n v="0.44999999999999996"/>
  </r>
  <r>
    <n v="902"/>
    <n v="2023"/>
    <n v="6"/>
    <n v="1"/>
    <m/>
    <d v="2023-06-01T00:00:00"/>
    <s v="CUST902"/>
    <x v="1"/>
    <n v="54"/>
    <x v="2"/>
    <x v="0"/>
    <n v="1"/>
    <n v="50"/>
    <n v="50"/>
    <n v="0.75"/>
  </r>
  <r>
    <n v="903"/>
    <n v="2023"/>
    <n v="4"/>
    <n v="27"/>
    <m/>
    <d v="2023-04-27T00:00:00"/>
    <s v="CUST903"/>
    <x v="1"/>
    <n v="51"/>
    <x v="2"/>
    <x v="0"/>
    <n v="4"/>
    <n v="50"/>
    <n v="200"/>
    <n v="3"/>
  </r>
  <r>
    <n v="904"/>
    <n v="2023"/>
    <n v="7"/>
    <n v="4"/>
    <m/>
    <d v="2023-07-04T00:00:00"/>
    <s v="CUST904"/>
    <x v="0"/>
    <n v="28"/>
    <x v="1"/>
    <x v="1"/>
    <n v="1"/>
    <n v="500"/>
    <n v="500"/>
    <n v="7.5"/>
  </r>
  <r>
    <n v="905"/>
    <n v="2023"/>
    <n v="4"/>
    <n v="2"/>
    <m/>
    <d v="2023-04-02T00:00:00"/>
    <s v="CUST905"/>
    <x v="0"/>
    <n v="58"/>
    <x v="2"/>
    <x v="0"/>
    <n v="1"/>
    <n v="300"/>
    <n v="300"/>
    <n v="4.5"/>
  </r>
  <r>
    <n v="906"/>
    <n v="2023"/>
    <n v="6"/>
    <n v="4"/>
    <m/>
    <d v="2023-06-04T00:00:00"/>
    <s v="CUST906"/>
    <x v="1"/>
    <n v="20"/>
    <x v="1"/>
    <x v="1"/>
    <n v="1"/>
    <n v="50"/>
    <n v="50"/>
    <n v="0.75"/>
  </r>
  <r>
    <n v="907"/>
    <n v="2023"/>
    <n v="1"/>
    <n v="8"/>
    <m/>
    <d v="2023-01-08T00:00:00"/>
    <s v="CUST907"/>
    <x v="1"/>
    <n v="45"/>
    <x v="0"/>
    <x v="2"/>
    <n v="1"/>
    <n v="25"/>
    <n v="25"/>
    <n v="0.375"/>
  </r>
  <r>
    <n v="908"/>
    <n v="2023"/>
    <n v="12"/>
    <n v="29"/>
    <m/>
    <d v="2023-12-29T00:00:00"/>
    <s v="CUST908"/>
    <x v="0"/>
    <n v="46"/>
    <x v="0"/>
    <x v="0"/>
    <n v="4"/>
    <n v="300"/>
    <n v="1200"/>
    <n v="18"/>
  </r>
  <r>
    <n v="909"/>
    <n v="2023"/>
    <n v="10"/>
    <n v="1"/>
    <m/>
    <d v="2023-10-01T00:00:00"/>
    <s v="CUST909"/>
    <x v="0"/>
    <n v="26"/>
    <x v="1"/>
    <x v="2"/>
    <n v="1"/>
    <n v="300"/>
    <n v="300"/>
    <n v="4.5"/>
  </r>
  <r>
    <n v="910"/>
    <n v="2023"/>
    <n v="3"/>
    <n v="6"/>
    <m/>
    <d v="2023-03-06T00:00:00"/>
    <s v="CUST910"/>
    <x v="1"/>
    <n v="20"/>
    <x v="1"/>
    <x v="0"/>
    <n v="3"/>
    <n v="50"/>
    <n v="150"/>
    <n v="2.25"/>
  </r>
  <r>
    <n v="911"/>
    <n v="2023"/>
    <n v="5"/>
    <n v="21"/>
    <m/>
    <d v="2023-05-21T00:00:00"/>
    <s v="CUST911"/>
    <x v="0"/>
    <n v="42"/>
    <x v="0"/>
    <x v="2"/>
    <n v="3"/>
    <n v="300"/>
    <n v="900"/>
    <n v="13.5"/>
  </r>
  <r>
    <n v="912"/>
    <n v="2023"/>
    <n v="1"/>
    <n v="24"/>
    <m/>
    <d v="2023-01-24T00:00:00"/>
    <s v="CUST912"/>
    <x v="0"/>
    <n v="51"/>
    <x v="2"/>
    <x v="0"/>
    <n v="3"/>
    <n v="50"/>
    <n v="150"/>
    <n v="2.25"/>
  </r>
  <r>
    <n v="913"/>
    <n v="2023"/>
    <n v="1"/>
    <n v="28"/>
    <m/>
    <d v="2023-01-28T00:00:00"/>
    <s v="CUST913"/>
    <x v="0"/>
    <n v="29"/>
    <x v="1"/>
    <x v="2"/>
    <n v="3"/>
    <n v="30"/>
    <n v="90"/>
    <n v="1.3499999999999999"/>
  </r>
  <r>
    <n v="914"/>
    <n v="2023"/>
    <n v="10"/>
    <n v="11"/>
    <m/>
    <d v="2023-10-11T00:00:00"/>
    <s v="CUST914"/>
    <x v="1"/>
    <n v="59"/>
    <x v="2"/>
    <x v="2"/>
    <n v="1"/>
    <n v="500"/>
    <n v="500"/>
    <n v="7.5"/>
  </r>
  <r>
    <n v="915"/>
    <n v="2023"/>
    <n v="5"/>
    <n v="30"/>
    <m/>
    <d v="2023-05-30T00:00:00"/>
    <s v="CUST915"/>
    <x v="1"/>
    <n v="26"/>
    <x v="1"/>
    <x v="0"/>
    <n v="3"/>
    <n v="30"/>
    <n v="90"/>
    <n v="1.3499999999999999"/>
  </r>
  <r>
    <n v="916"/>
    <n v="2023"/>
    <n v="12"/>
    <n v="24"/>
    <m/>
    <d v="2023-12-24T00:00:00"/>
    <s v="CUST916"/>
    <x v="1"/>
    <n v="32"/>
    <x v="0"/>
    <x v="2"/>
    <n v="1"/>
    <n v="50"/>
    <n v="50"/>
    <n v="0.75"/>
  </r>
  <r>
    <n v="917"/>
    <n v="2023"/>
    <n v="3"/>
    <n v="6"/>
    <m/>
    <d v="2023-03-06T00:00:00"/>
    <s v="CUST917"/>
    <x v="1"/>
    <n v="57"/>
    <x v="2"/>
    <x v="2"/>
    <n v="4"/>
    <n v="50"/>
    <n v="200"/>
    <n v="3"/>
  </r>
  <r>
    <n v="918"/>
    <n v="2023"/>
    <n v="11"/>
    <n v="23"/>
    <m/>
    <d v="2023-11-23T00:00:00"/>
    <s v="CUST918"/>
    <x v="1"/>
    <n v="42"/>
    <x v="0"/>
    <x v="2"/>
    <n v="3"/>
    <n v="30"/>
    <n v="90"/>
    <n v="1.3499999999999999"/>
  </r>
  <r>
    <n v="919"/>
    <n v="2023"/>
    <n v="9"/>
    <n v="9"/>
    <m/>
    <d v="2023-09-09T00:00:00"/>
    <s v="CUST919"/>
    <x v="1"/>
    <n v="22"/>
    <x v="1"/>
    <x v="0"/>
    <n v="2"/>
    <n v="25"/>
    <n v="50"/>
    <n v="0.75"/>
  </r>
  <r>
    <n v="920"/>
    <n v="2023"/>
    <n v="2"/>
    <n v="22"/>
    <m/>
    <d v="2023-02-22T00:00:00"/>
    <s v="CUST920"/>
    <x v="1"/>
    <n v="28"/>
    <x v="1"/>
    <x v="0"/>
    <n v="3"/>
    <n v="25"/>
    <n v="75"/>
    <n v="1.125"/>
  </r>
  <r>
    <n v="921"/>
    <n v="2023"/>
    <n v="1"/>
    <n v="7"/>
    <m/>
    <d v="2023-01-07T00:00:00"/>
    <s v="CUST921"/>
    <x v="0"/>
    <n v="51"/>
    <x v="2"/>
    <x v="2"/>
    <n v="3"/>
    <n v="25"/>
    <n v="75"/>
    <n v="1.125"/>
  </r>
  <r>
    <n v="922"/>
    <n v="2023"/>
    <n v="10"/>
    <n v="21"/>
    <m/>
    <d v="2023-10-21T00:00:00"/>
    <s v="CUST922"/>
    <x v="0"/>
    <n v="41"/>
    <x v="0"/>
    <x v="2"/>
    <n v="1"/>
    <n v="50"/>
    <n v="50"/>
    <n v="0.75"/>
  </r>
  <r>
    <n v="923"/>
    <n v="2023"/>
    <n v="5"/>
    <n v="26"/>
    <m/>
    <d v="2023-05-26T00:00:00"/>
    <s v="CUST923"/>
    <x v="0"/>
    <n v="32"/>
    <x v="0"/>
    <x v="0"/>
    <n v="3"/>
    <n v="300"/>
    <n v="900"/>
    <n v="13.5"/>
  </r>
  <r>
    <n v="924"/>
    <n v="2023"/>
    <n v="8"/>
    <n v="29"/>
    <m/>
    <d v="2023-08-29T00:00:00"/>
    <s v="CUST924"/>
    <x v="0"/>
    <n v="55"/>
    <x v="2"/>
    <x v="0"/>
    <n v="2"/>
    <n v="50"/>
    <n v="100"/>
    <n v="1.5"/>
  </r>
  <r>
    <n v="925"/>
    <n v="2023"/>
    <n v="9"/>
    <n v="3"/>
    <m/>
    <d v="2023-09-03T00:00:00"/>
    <s v="CUST925"/>
    <x v="0"/>
    <n v="25"/>
    <x v="1"/>
    <x v="2"/>
    <n v="1"/>
    <n v="300"/>
    <n v="300"/>
    <n v="4.5"/>
  </r>
  <r>
    <n v="926"/>
    <n v="2023"/>
    <n v="8"/>
    <n v="14"/>
    <m/>
    <d v="2023-08-14T00:00:00"/>
    <s v="CUST926"/>
    <x v="0"/>
    <n v="22"/>
    <x v="1"/>
    <x v="2"/>
    <n v="1"/>
    <n v="30"/>
    <n v="30"/>
    <n v="0.44999999999999996"/>
  </r>
  <r>
    <n v="927"/>
    <n v="2023"/>
    <n v="6"/>
    <n v="24"/>
    <m/>
    <d v="2023-06-24T00:00:00"/>
    <s v="CUST927"/>
    <x v="0"/>
    <n v="43"/>
    <x v="0"/>
    <x v="2"/>
    <n v="4"/>
    <n v="500"/>
    <n v="2000"/>
    <n v="30"/>
  </r>
  <r>
    <n v="928"/>
    <n v="2023"/>
    <n v="4"/>
    <n v="5"/>
    <m/>
    <d v="2023-04-05T00:00:00"/>
    <s v="CUST928"/>
    <x v="1"/>
    <n v="35"/>
    <x v="0"/>
    <x v="1"/>
    <n v="4"/>
    <n v="300"/>
    <n v="1200"/>
    <n v="18"/>
  </r>
  <r>
    <n v="929"/>
    <n v="2023"/>
    <n v="1"/>
    <n v="27"/>
    <m/>
    <d v="2023-01-27T00:00:00"/>
    <s v="CUST929"/>
    <x v="1"/>
    <n v="23"/>
    <x v="1"/>
    <x v="0"/>
    <n v="3"/>
    <n v="25"/>
    <n v="75"/>
    <n v="1.125"/>
  </r>
  <r>
    <n v="930"/>
    <n v="2023"/>
    <n v="5"/>
    <n v="10"/>
    <m/>
    <d v="2023-05-10T00:00:00"/>
    <s v="CUST930"/>
    <x v="0"/>
    <n v="54"/>
    <x v="2"/>
    <x v="1"/>
    <n v="4"/>
    <n v="50"/>
    <n v="200"/>
    <n v="3"/>
  </r>
  <r>
    <n v="931"/>
    <n v="2023"/>
    <n v="9"/>
    <n v="2"/>
    <m/>
    <d v="2023-09-02T00:00:00"/>
    <s v="CUST931"/>
    <x v="0"/>
    <n v="30"/>
    <x v="0"/>
    <x v="0"/>
    <n v="4"/>
    <n v="30"/>
    <n v="120"/>
    <n v="1.7999999999999998"/>
  </r>
  <r>
    <n v="932"/>
    <n v="2023"/>
    <n v="2"/>
    <n v="28"/>
    <m/>
    <d v="2023-02-28T00:00:00"/>
    <s v="CUST932"/>
    <x v="1"/>
    <n v="45"/>
    <x v="0"/>
    <x v="0"/>
    <n v="4"/>
    <n v="25"/>
    <n v="100"/>
    <n v="1.5"/>
  </r>
  <r>
    <n v="933"/>
    <n v="2023"/>
    <n v="2"/>
    <n v="3"/>
    <m/>
    <d v="2023-02-03T00:00:00"/>
    <s v="CUST933"/>
    <x v="0"/>
    <n v="22"/>
    <x v="1"/>
    <x v="0"/>
    <n v="1"/>
    <n v="30"/>
    <n v="30"/>
    <n v="0.44999999999999996"/>
  </r>
  <r>
    <n v="934"/>
    <n v="2023"/>
    <n v="7"/>
    <n v="25"/>
    <m/>
    <d v="2023-07-25T00:00:00"/>
    <s v="CUST934"/>
    <x v="0"/>
    <n v="30"/>
    <x v="0"/>
    <x v="0"/>
    <n v="1"/>
    <n v="500"/>
    <n v="500"/>
    <n v="7.5"/>
  </r>
  <r>
    <n v="935"/>
    <n v="2023"/>
    <n v="9"/>
    <n v="9"/>
    <m/>
    <d v="2023-09-09T00:00:00"/>
    <s v="CUST935"/>
    <x v="1"/>
    <n v="34"/>
    <x v="0"/>
    <x v="0"/>
    <n v="1"/>
    <n v="50"/>
    <n v="50"/>
    <n v="0.75"/>
  </r>
  <r>
    <n v="936"/>
    <n v="2023"/>
    <n v="2"/>
    <n v="7"/>
    <m/>
    <d v="2023-02-07T00:00:00"/>
    <s v="CUST936"/>
    <x v="0"/>
    <n v="57"/>
    <x v="2"/>
    <x v="0"/>
    <n v="4"/>
    <n v="50"/>
    <n v="200"/>
    <n v="3"/>
  </r>
  <r>
    <n v="937"/>
    <n v="2023"/>
    <n v="10"/>
    <n v="23"/>
    <m/>
    <d v="2023-10-23T00:00:00"/>
    <s v="CUST937"/>
    <x v="1"/>
    <n v="62"/>
    <x v="2"/>
    <x v="0"/>
    <n v="1"/>
    <n v="500"/>
    <n v="500"/>
    <n v="7.5"/>
  </r>
  <r>
    <n v="938"/>
    <n v="2023"/>
    <n v="11"/>
    <n v="19"/>
    <m/>
    <d v="2023-11-19T00:00:00"/>
    <s v="CUST938"/>
    <x v="0"/>
    <n v="49"/>
    <x v="0"/>
    <x v="1"/>
    <n v="4"/>
    <n v="50"/>
    <n v="200"/>
    <n v="3"/>
  </r>
  <r>
    <n v="939"/>
    <n v="2023"/>
    <n v="12"/>
    <n v="18"/>
    <m/>
    <d v="2023-12-18T00:00:00"/>
    <s v="CUST939"/>
    <x v="1"/>
    <n v="46"/>
    <x v="0"/>
    <x v="2"/>
    <n v="1"/>
    <n v="300"/>
    <n v="300"/>
    <n v="4.5"/>
  </r>
  <r>
    <n v="940"/>
    <n v="2023"/>
    <n v="1"/>
    <n v="28"/>
    <m/>
    <d v="2023-01-28T00:00:00"/>
    <s v="CUST940"/>
    <x v="1"/>
    <n v="20"/>
    <x v="1"/>
    <x v="2"/>
    <n v="1"/>
    <n v="30"/>
    <n v="30"/>
    <n v="0.44999999999999996"/>
  </r>
  <r>
    <n v="941"/>
    <n v="2023"/>
    <n v="3"/>
    <n v="19"/>
    <m/>
    <d v="2023-03-19T00:00:00"/>
    <s v="CUST941"/>
    <x v="1"/>
    <n v="57"/>
    <x v="2"/>
    <x v="1"/>
    <n v="2"/>
    <n v="25"/>
    <n v="50"/>
    <n v="0.75"/>
  </r>
  <r>
    <n v="942"/>
    <n v="2023"/>
    <n v="3"/>
    <n v="18"/>
    <m/>
    <d v="2023-03-18T00:00:00"/>
    <s v="CUST942"/>
    <x v="0"/>
    <n v="51"/>
    <x v="2"/>
    <x v="1"/>
    <n v="3"/>
    <n v="500"/>
    <n v="1500"/>
    <n v="22.5"/>
  </r>
  <r>
    <n v="943"/>
    <n v="2023"/>
    <n v="10"/>
    <n v="16"/>
    <m/>
    <d v="2023-10-16T00:00:00"/>
    <s v="CUST943"/>
    <x v="1"/>
    <n v="57"/>
    <x v="2"/>
    <x v="1"/>
    <n v="4"/>
    <n v="300"/>
    <n v="1200"/>
    <n v="18"/>
  </r>
  <r>
    <n v="944"/>
    <n v="2023"/>
    <n v="6"/>
    <n v="5"/>
    <m/>
    <d v="2023-06-05T00:00:00"/>
    <s v="CUST944"/>
    <x v="0"/>
    <n v="44"/>
    <x v="0"/>
    <x v="1"/>
    <n v="2"/>
    <n v="25"/>
    <n v="50"/>
    <n v="0.75"/>
  </r>
  <r>
    <n v="945"/>
    <n v="2023"/>
    <n v="2"/>
    <n v="13"/>
    <m/>
    <d v="2023-02-13T00:00:00"/>
    <s v="CUST945"/>
    <x v="0"/>
    <n v="30"/>
    <x v="0"/>
    <x v="0"/>
    <n v="1"/>
    <n v="25"/>
    <n v="25"/>
    <n v="0.375"/>
  </r>
  <r>
    <n v="946"/>
    <n v="2023"/>
    <n v="5"/>
    <n v="8"/>
    <m/>
    <d v="2023-05-08T00:00:00"/>
    <s v="CUST946"/>
    <x v="0"/>
    <n v="62"/>
    <x v="2"/>
    <x v="2"/>
    <n v="4"/>
    <n v="500"/>
    <n v="2000"/>
    <n v="30"/>
  </r>
  <r>
    <n v="947"/>
    <n v="2023"/>
    <n v="3"/>
    <n v="2"/>
    <m/>
    <d v="2023-03-02T00:00:00"/>
    <s v="CUST947"/>
    <x v="0"/>
    <n v="50"/>
    <x v="2"/>
    <x v="0"/>
    <n v="1"/>
    <n v="300"/>
    <n v="300"/>
    <n v="4.5"/>
  </r>
  <r>
    <n v="948"/>
    <n v="2023"/>
    <n v="10"/>
    <n v="13"/>
    <m/>
    <d v="2023-10-13T00:00:00"/>
    <s v="CUST948"/>
    <x v="1"/>
    <n v="23"/>
    <x v="1"/>
    <x v="2"/>
    <n v="3"/>
    <n v="25"/>
    <n v="75"/>
    <n v="1.125"/>
  </r>
  <r>
    <n v="949"/>
    <n v="2023"/>
    <n v="8"/>
    <n v="2"/>
    <m/>
    <d v="2023-08-02T00:00:00"/>
    <s v="CUST949"/>
    <x v="1"/>
    <n v="41"/>
    <x v="0"/>
    <x v="2"/>
    <n v="2"/>
    <n v="25"/>
    <n v="50"/>
    <n v="0.75"/>
  </r>
  <r>
    <n v="950"/>
    <n v="2023"/>
    <n v="11"/>
    <n v="7"/>
    <m/>
    <d v="2023-11-07T00:00:00"/>
    <s v="CUST950"/>
    <x v="0"/>
    <n v="36"/>
    <x v="0"/>
    <x v="1"/>
    <n v="3"/>
    <n v="300"/>
    <n v="900"/>
    <n v="13.5"/>
  </r>
  <r>
    <n v="951"/>
    <n v="2023"/>
    <n v="11"/>
    <n v="2"/>
    <m/>
    <d v="2023-11-02T00:00:00"/>
    <s v="CUST951"/>
    <x v="0"/>
    <n v="33"/>
    <x v="0"/>
    <x v="0"/>
    <n v="2"/>
    <n v="50"/>
    <n v="100"/>
    <n v="1.5"/>
  </r>
  <r>
    <n v="952"/>
    <n v="2023"/>
    <n v="11"/>
    <n v="13"/>
    <m/>
    <d v="2023-11-13T00:00:00"/>
    <s v="CUST952"/>
    <x v="1"/>
    <n v="57"/>
    <x v="2"/>
    <x v="1"/>
    <n v="1"/>
    <n v="25"/>
    <n v="25"/>
    <n v="0.375"/>
  </r>
  <r>
    <n v="953"/>
    <n v="2023"/>
    <n v="4"/>
    <n v="26"/>
    <m/>
    <d v="2023-04-26T00:00:00"/>
    <s v="CUST953"/>
    <x v="0"/>
    <n v="45"/>
    <x v="0"/>
    <x v="0"/>
    <n v="3"/>
    <n v="30"/>
    <n v="90"/>
    <n v="1.3499999999999999"/>
  </r>
  <r>
    <n v="954"/>
    <n v="2023"/>
    <n v="9"/>
    <n v="25"/>
    <m/>
    <d v="2023-09-25T00:00:00"/>
    <s v="CUST954"/>
    <x v="1"/>
    <n v="50"/>
    <x v="2"/>
    <x v="2"/>
    <n v="3"/>
    <n v="300"/>
    <n v="900"/>
    <n v="13.5"/>
  </r>
  <r>
    <n v="955"/>
    <n v="2023"/>
    <n v="7"/>
    <n v="14"/>
    <m/>
    <d v="2023-07-14T00:00:00"/>
    <s v="CUST955"/>
    <x v="0"/>
    <n v="58"/>
    <x v="2"/>
    <x v="1"/>
    <n v="1"/>
    <n v="25"/>
    <n v="25"/>
    <n v="0.375"/>
  </r>
  <r>
    <n v="956"/>
    <n v="2023"/>
    <n v="8"/>
    <n v="19"/>
    <m/>
    <d v="2023-08-19T00:00:00"/>
    <s v="CUST956"/>
    <x v="0"/>
    <n v="30"/>
    <x v="0"/>
    <x v="1"/>
    <n v="3"/>
    <n v="500"/>
    <n v="1500"/>
    <n v="22.5"/>
  </r>
  <r>
    <n v="957"/>
    <n v="2023"/>
    <n v="8"/>
    <n v="15"/>
    <m/>
    <d v="2023-08-15T00:00:00"/>
    <s v="CUST957"/>
    <x v="1"/>
    <n v="60"/>
    <x v="2"/>
    <x v="2"/>
    <n v="4"/>
    <n v="30"/>
    <n v="120"/>
    <n v="1.7999999999999998"/>
  </r>
  <r>
    <n v="958"/>
    <n v="2023"/>
    <n v="6"/>
    <n v="2"/>
    <m/>
    <d v="2023-06-02T00:00:00"/>
    <s v="CUST958"/>
    <x v="0"/>
    <n v="62"/>
    <x v="2"/>
    <x v="2"/>
    <n v="2"/>
    <n v="25"/>
    <n v="50"/>
    <n v="0.75"/>
  </r>
  <r>
    <n v="959"/>
    <n v="2023"/>
    <n v="10"/>
    <n v="29"/>
    <m/>
    <d v="2023-10-29T00:00:00"/>
    <s v="CUST959"/>
    <x v="1"/>
    <n v="42"/>
    <x v="0"/>
    <x v="2"/>
    <n v="2"/>
    <n v="30"/>
    <n v="60"/>
    <n v="0.89999999999999991"/>
  </r>
  <r>
    <n v="960"/>
    <n v="2023"/>
    <n v="8"/>
    <n v="8"/>
    <m/>
    <d v="2023-08-08T00:00:00"/>
    <s v="CUST960"/>
    <x v="0"/>
    <n v="59"/>
    <x v="2"/>
    <x v="1"/>
    <n v="2"/>
    <n v="30"/>
    <n v="60"/>
    <n v="0.89999999999999991"/>
  </r>
  <r>
    <n v="961"/>
    <n v="2023"/>
    <n v="6"/>
    <n v="6"/>
    <m/>
    <d v="2023-06-06T00:00:00"/>
    <s v="CUST961"/>
    <x v="0"/>
    <n v="53"/>
    <x v="2"/>
    <x v="0"/>
    <n v="4"/>
    <n v="50"/>
    <n v="200"/>
    <n v="3"/>
  </r>
  <r>
    <n v="962"/>
    <n v="2023"/>
    <n v="10"/>
    <n v="19"/>
    <m/>
    <d v="2023-10-19T00:00:00"/>
    <s v="CUST962"/>
    <x v="0"/>
    <n v="44"/>
    <x v="0"/>
    <x v="1"/>
    <n v="2"/>
    <n v="30"/>
    <n v="60"/>
    <n v="0.89999999999999991"/>
  </r>
  <r>
    <n v="963"/>
    <n v="2023"/>
    <n v="11"/>
    <n v="14"/>
    <m/>
    <d v="2023-11-14T00:00:00"/>
    <s v="CUST963"/>
    <x v="1"/>
    <n v="55"/>
    <x v="2"/>
    <x v="0"/>
    <n v="1"/>
    <n v="50"/>
    <n v="50"/>
    <n v="0.75"/>
  </r>
  <r>
    <n v="964"/>
    <n v="2023"/>
    <n v="1"/>
    <n v="31"/>
    <m/>
    <d v="2023-01-31T00:00:00"/>
    <s v="CUST964"/>
    <x v="0"/>
    <n v="24"/>
    <x v="1"/>
    <x v="1"/>
    <n v="3"/>
    <n v="300"/>
    <n v="900"/>
    <n v="13.5"/>
  </r>
  <r>
    <n v="965"/>
    <n v="2023"/>
    <n v="11"/>
    <n v="9"/>
    <m/>
    <d v="2023-11-09T00:00:00"/>
    <s v="CUST965"/>
    <x v="0"/>
    <n v="22"/>
    <x v="1"/>
    <x v="1"/>
    <n v="4"/>
    <n v="50"/>
    <n v="200"/>
    <n v="3"/>
  </r>
  <r>
    <n v="966"/>
    <n v="2023"/>
    <n v="2"/>
    <n v="20"/>
    <m/>
    <d v="2023-02-20T00:00:00"/>
    <s v="CUST966"/>
    <x v="0"/>
    <n v="60"/>
    <x v="2"/>
    <x v="2"/>
    <n v="2"/>
    <n v="500"/>
    <n v="1000"/>
    <n v="15"/>
  </r>
  <r>
    <n v="967"/>
    <n v="2023"/>
    <n v="4"/>
    <n v="17"/>
    <m/>
    <d v="2023-04-17T00:00:00"/>
    <s v="CUST967"/>
    <x v="0"/>
    <n v="62"/>
    <x v="2"/>
    <x v="0"/>
    <n v="1"/>
    <n v="25"/>
    <n v="25"/>
    <n v="0.375"/>
  </r>
  <r>
    <n v="968"/>
    <n v="2023"/>
    <n v="11"/>
    <n v="17"/>
    <m/>
    <d v="2023-11-17T00:00:00"/>
    <s v="CUST968"/>
    <x v="1"/>
    <n v="48"/>
    <x v="0"/>
    <x v="1"/>
    <n v="3"/>
    <n v="300"/>
    <n v="900"/>
    <n v="13.5"/>
  </r>
  <r>
    <n v="969"/>
    <n v="2023"/>
    <n v="4"/>
    <n v="19"/>
    <m/>
    <d v="2023-04-19T00:00:00"/>
    <s v="CUST969"/>
    <x v="1"/>
    <n v="40"/>
    <x v="0"/>
    <x v="1"/>
    <n v="3"/>
    <n v="300"/>
    <n v="900"/>
    <n v="13.5"/>
  </r>
  <r>
    <n v="970"/>
    <n v="2023"/>
    <n v="5"/>
    <n v="16"/>
    <m/>
    <d v="2023-05-16T00:00:00"/>
    <s v="CUST970"/>
    <x v="0"/>
    <n v="59"/>
    <x v="2"/>
    <x v="2"/>
    <n v="4"/>
    <n v="500"/>
    <n v="2000"/>
    <n v="30"/>
  </r>
  <r>
    <n v="971"/>
    <n v="2023"/>
    <n v="12"/>
    <n v="5"/>
    <m/>
    <d v="2023-12-05T00:00:00"/>
    <s v="CUST971"/>
    <x v="1"/>
    <n v="27"/>
    <x v="1"/>
    <x v="2"/>
    <n v="4"/>
    <n v="50"/>
    <n v="200"/>
    <n v="3"/>
  </r>
  <r>
    <n v="972"/>
    <n v="2023"/>
    <n v="2"/>
    <n v="11"/>
    <m/>
    <d v="2023-02-11T00:00:00"/>
    <s v="CUST972"/>
    <x v="0"/>
    <n v="49"/>
    <x v="0"/>
    <x v="0"/>
    <n v="4"/>
    <n v="25"/>
    <n v="100"/>
    <n v="1.5"/>
  </r>
  <r>
    <n v="973"/>
    <n v="2023"/>
    <n v="3"/>
    <n v="22"/>
    <m/>
    <d v="2023-03-22T00:00:00"/>
    <s v="CUST973"/>
    <x v="0"/>
    <n v="60"/>
    <x v="2"/>
    <x v="1"/>
    <n v="1"/>
    <n v="50"/>
    <n v="50"/>
    <n v="0.75"/>
  </r>
  <r>
    <n v="974"/>
    <n v="2023"/>
    <n v="5"/>
    <n v="3"/>
    <m/>
    <d v="2023-05-03T00:00:00"/>
    <s v="CUST974"/>
    <x v="0"/>
    <n v="47"/>
    <x v="0"/>
    <x v="0"/>
    <n v="1"/>
    <n v="30"/>
    <n v="30"/>
    <n v="0.44999999999999996"/>
  </r>
  <r>
    <n v="975"/>
    <n v="2023"/>
    <n v="3"/>
    <n v="30"/>
    <m/>
    <d v="2023-03-30T00:00:00"/>
    <s v="CUST975"/>
    <x v="1"/>
    <n v="56"/>
    <x v="2"/>
    <x v="1"/>
    <n v="4"/>
    <n v="50"/>
    <n v="200"/>
    <n v="3"/>
  </r>
  <r>
    <n v="976"/>
    <n v="2023"/>
    <n v="10"/>
    <n v="10"/>
    <m/>
    <d v="2023-10-10T00:00:00"/>
    <s v="CUST976"/>
    <x v="1"/>
    <n v="48"/>
    <x v="0"/>
    <x v="0"/>
    <n v="2"/>
    <n v="300"/>
    <n v="600"/>
    <n v="9"/>
  </r>
  <r>
    <n v="977"/>
    <n v="2023"/>
    <n v="2"/>
    <n v="8"/>
    <m/>
    <d v="2023-02-08T00:00:00"/>
    <s v="CUST977"/>
    <x v="1"/>
    <n v="35"/>
    <x v="0"/>
    <x v="2"/>
    <n v="3"/>
    <n v="25"/>
    <n v="75"/>
    <n v="1.125"/>
  </r>
  <r>
    <n v="978"/>
    <n v="2023"/>
    <n v="3"/>
    <n v="22"/>
    <m/>
    <d v="2023-03-22T00:00:00"/>
    <s v="CUST978"/>
    <x v="1"/>
    <n v="53"/>
    <x v="2"/>
    <x v="1"/>
    <n v="3"/>
    <n v="50"/>
    <n v="150"/>
    <n v="2.25"/>
  </r>
  <r>
    <n v="979"/>
    <n v="2023"/>
    <n v="1"/>
    <n v="2"/>
    <m/>
    <d v="2023-01-02T00:00:00"/>
    <s v="CUST979"/>
    <x v="1"/>
    <n v="19"/>
    <x v="1"/>
    <x v="0"/>
    <n v="1"/>
    <n v="25"/>
    <n v="25"/>
    <n v="0.375"/>
  </r>
  <r>
    <n v="980"/>
    <n v="2023"/>
    <n v="7"/>
    <n v="29"/>
    <m/>
    <d v="2023-07-29T00:00:00"/>
    <s v="CUST980"/>
    <x v="1"/>
    <n v="31"/>
    <x v="0"/>
    <x v="2"/>
    <n v="3"/>
    <n v="25"/>
    <n v="75"/>
    <n v="1.125"/>
  </r>
  <r>
    <n v="981"/>
    <n v="2023"/>
    <n v="8"/>
    <n v="19"/>
    <m/>
    <d v="2023-08-19T00:00:00"/>
    <s v="CUST981"/>
    <x v="1"/>
    <n v="30"/>
    <x v="0"/>
    <x v="2"/>
    <n v="2"/>
    <n v="30"/>
    <n v="60"/>
    <n v="0.89999999999999991"/>
  </r>
  <r>
    <n v="982"/>
    <n v="2023"/>
    <n v="12"/>
    <n v="19"/>
    <m/>
    <d v="2023-12-19T00:00:00"/>
    <s v="CUST982"/>
    <x v="1"/>
    <n v="46"/>
    <x v="0"/>
    <x v="0"/>
    <n v="3"/>
    <n v="30"/>
    <n v="90"/>
    <n v="1.3499999999999999"/>
  </r>
  <r>
    <n v="983"/>
    <n v="2023"/>
    <n v="11"/>
    <n v="1"/>
    <m/>
    <d v="2023-11-01T00:00:00"/>
    <s v="CUST983"/>
    <x v="1"/>
    <n v="29"/>
    <x v="1"/>
    <x v="1"/>
    <n v="1"/>
    <n v="300"/>
    <n v="300"/>
    <n v="4.5"/>
  </r>
  <r>
    <n v="984"/>
    <n v="2023"/>
    <n v="8"/>
    <n v="29"/>
    <m/>
    <d v="2023-08-29T00:00:00"/>
    <s v="CUST984"/>
    <x v="0"/>
    <n v="56"/>
    <x v="2"/>
    <x v="1"/>
    <n v="1"/>
    <n v="500"/>
    <n v="500"/>
    <n v="7.5"/>
  </r>
  <r>
    <n v="985"/>
    <n v="2023"/>
    <n v="5"/>
    <n v="30"/>
    <m/>
    <d v="2023-05-30T00:00:00"/>
    <s v="CUST985"/>
    <x v="1"/>
    <n v="19"/>
    <x v="1"/>
    <x v="2"/>
    <n v="2"/>
    <n v="25"/>
    <n v="50"/>
    <n v="0.75"/>
  </r>
  <r>
    <n v="986"/>
    <n v="2023"/>
    <n v="1"/>
    <n v="17"/>
    <m/>
    <d v="2023-01-17T00:00:00"/>
    <s v="CUST986"/>
    <x v="1"/>
    <n v="49"/>
    <x v="0"/>
    <x v="1"/>
    <n v="2"/>
    <n v="500"/>
    <n v="1000"/>
    <n v="15"/>
  </r>
  <r>
    <n v="987"/>
    <n v="2023"/>
    <n v="4"/>
    <n v="29"/>
    <m/>
    <d v="2023-04-29T00:00:00"/>
    <s v="CUST987"/>
    <x v="1"/>
    <n v="30"/>
    <x v="0"/>
    <x v="1"/>
    <n v="3"/>
    <n v="300"/>
    <n v="900"/>
    <n v="13.5"/>
  </r>
  <r>
    <n v="988"/>
    <n v="2023"/>
    <n v="5"/>
    <n v="28"/>
    <m/>
    <d v="2023-05-28T00:00:00"/>
    <s v="CUST988"/>
    <x v="1"/>
    <n v="63"/>
    <x v="2"/>
    <x v="1"/>
    <n v="3"/>
    <n v="25"/>
    <n v="75"/>
    <n v="1.125"/>
  </r>
  <r>
    <n v="989"/>
    <n v="2023"/>
    <n v="12"/>
    <n v="28"/>
    <m/>
    <d v="2023-12-28T00:00:00"/>
    <s v="CUST989"/>
    <x v="1"/>
    <n v="44"/>
    <x v="0"/>
    <x v="2"/>
    <n v="1"/>
    <n v="25"/>
    <n v="25"/>
    <n v="0.375"/>
  </r>
  <r>
    <n v="990"/>
    <n v="2023"/>
    <n v="5"/>
    <n v="25"/>
    <m/>
    <d v="2023-05-25T00:00:00"/>
    <s v="CUST990"/>
    <x v="1"/>
    <n v="58"/>
    <x v="2"/>
    <x v="0"/>
    <n v="2"/>
    <n v="500"/>
    <n v="1000"/>
    <n v="15"/>
  </r>
  <r>
    <n v="991"/>
    <n v="2023"/>
    <n v="12"/>
    <n v="26"/>
    <m/>
    <d v="2023-12-26T00:00:00"/>
    <s v="CUST991"/>
    <x v="1"/>
    <n v="34"/>
    <x v="0"/>
    <x v="1"/>
    <n v="2"/>
    <n v="50"/>
    <n v="100"/>
    <n v="1.5"/>
  </r>
  <r>
    <n v="992"/>
    <n v="2023"/>
    <n v="8"/>
    <n v="21"/>
    <m/>
    <d v="2023-08-21T00:00:00"/>
    <s v="CUST992"/>
    <x v="1"/>
    <n v="57"/>
    <x v="2"/>
    <x v="2"/>
    <n v="2"/>
    <n v="30"/>
    <n v="60"/>
    <n v="0.89999999999999991"/>
  </r>
  <r>
    <n v="993"/>
    <n v="2023"/>
    <n v="2"/>
    <n v="6"/>
    <m/>
    <d v="2023-02-06T00:00:00"/>
    <s v="CUST993"/>
    <x v="1"/>
    <n v="48"/>
    <x v="0"/>
    <x v="2"/>
    <n v="3"/>
    <n v="50"/>
    <n v="150"/>
    <n v="2.25"/>
  </r>
  <r>
    <n v="994"/>
    <n v="2023"/>
    <n v="12"/>
    <n v="18"/>
    <m/>
    <d v="2023-12-18T00:00:00"/>
    <s v="CUST994"/>
    <x v="1"/>
    <n v="51"/>
    <x v="2"/>
    <x v="0"/>
    <n v="2"/>
    <n v="500"/>
    <n v="1000"/>
    <n v="15"/>
  </r>
  <r>
    <n v="995"/>
    <n v="2023"/>
    <n v="4"/>
    <n v="30"/>
    <m/>
    <d v="2023-04-30T00:00:00"/>
    <s v="CUST995"/>
    <x v="1"/>
    <n v="41"/>
    <x v="0"/>
    <x v="1"/>
    <n v="1"/>
    <n v="30"/>
    <n v="30"/>
    <n v="0.44999999999999996"/>
  </r>
  <r>
    <n v="996"/>
    <n v="2023"/>
    <n v="5"/>
    <n v="16"/>
    <m/>
    <d v="2023-05-16T00:00:00"/>
    <s v="CUST996"/>
    <x v="0"/>
    <n v="62"/>
    <x v="2"/>
    <x v="1"/>
    <n v="1"/>
    <n v="50"/>
    <n v="50"/>
    <n v="0.75"/>
  </r>
  <r>
    <n v="997"/>
    <n v="2023"/>
    <n v="11"/>
    <n v="17"/>
    <m/>
    <d v="2023-11-17T00:00:00"/>
    <s v="CUST997"/>
    <x v="0"/>
    <n v="52"/>
    <x v="2"/>
    <x v="0"/>
    <n v="3"/>
    <n v="30"/>
    <n v="90"/>
    <n v="1.3499999999999999"/>
  </r>
  <r>
    <n v="998"/>
    <n v="2023"/>
    <n v="10"/>
    <n v="29"/>
    <m/>
    <d v="2023-10-29T00:00:00"/>
    <s v="CUST998"/>
    <x v="1"/>
    <n v="23"/>
    <x v="1"/>
    <x v="0"/>
    <n v="4"/>
    <n v="25"/>
    <n v="100"/>
    <n v="1.5"/>
  </r>
  <r>
    <n v="999"/>
    <n v="2023"/>
    <n v="12"/>
    <n v="5"/>
    <m/>
    <d v="2023-12-05T00:00:00"/>
    <s v="CUST999"/>
    <x v="1"/>
    <n v="36"/>
    <x v="0"/>
    <x v="2"/>
    <n v="3"/>
    <n v="50"/>
    <n v="150"/>
    <n v="2.25"/>
  </r>
  <r>
    <n v="1000"/>
    <n v="2023"/>
    <n v="4"/>
    <n v="12"/>
    <m/>
    <d v="2023-04-12T00:00:00"/>
    <s v="CUST1000"/>
    <x v="0"/>
    <n v="47"/>
    <x v="0"/>
    <x v="2"/>
    <n v="4"/>
    <n v="30"/>
    <n v="120"/>
    <n v="1.799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192D31-E807-4A4F-9CD3-8F5BCE4ADE4A}" name="PivotTable1" cacheId="9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13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41FC79-A510-4A50-8A17-8D007168B0CF}" name="PivotTable2" cacheId="9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13" firstHeaderRow="1" firstDataRow="1" firstDataCol="2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</pivotFields>
  <rowFields count="2">
    <field x="10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Items count="1">
    <i/>
  </colItems>
  <dataFields count="1">
    <dataField name="Sum of Total Sales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85104-DA99-40AC-8B48-AD32AE41FE09}" name="PivotTable3" cacheId="9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8" firstHeaderRow="1" firstDataRow="1" firstDataCol="3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h="1" x="0"/>
        <item t="default"/>
      </items>
    </pivotField>
    <pivotField compact="0" outline="0" showAll="0"/>
    <pivotField axis="axisRow" compact="0" outline="0" showAll="0">
      <items count="4">
        <item h="1" x="0"/>
        <item x="2"/>
        <item x="1"/>
        <item t="default"/>
      </items>
    </pivotField>
    <pivotField axis="axisRow" compact="0" outline="0" showAll="0">
      <items count="4">
        <item x="0"/>
        <item h="1" x="1"/>
        <item h="1"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</pivotFields>
  <rowFields count="3">
    <field x="10"/>
    <field x="7"/>
    <field x="9"/>
  </rowFields>
  <rowItems count="5">
    <i>
      <x/>
      <x/>
      <x v="1"/>
    </i>
    <i r="2">
      <x v="2"/>
    </i>
    <i t="default" r="1">
      <x/>
    </i>
    <i t="default">
      <x/>
    </i>
    <i t="grand">
      <x/>
    </i>
  </rowItems>
  <colItems count="1">
    <i/>
  </colItems>
  <dataFields count="1">
    <dataField name="Sum of Total Sales" fld="13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B088373D-AB6D-4F6C-B66C-85FEBB46DA38}" sourceName="Gender">
  <pivotTables>
    <pivotTable tabId="5" name="PivotTable3"/>
  </pivotTables>
  <data>
    <tabular pivotCacheId="152581409">
      <items count="2">
        <i x="1" s="1"/>
        <i x="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E7EC962C-15B3-4939-BFB7-BF1573C784EA}" sourceName="Generation ">
  <pivotTables>
    <pivotTable tabId="5" name="PivotTable3"/>
  </pivotTables>
  <data>
    <tabular pivotCacheId="152581409">
      <items count="3">
        <i x="0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A444E5B0-D8BE-4D32-9966-048BF93B46A7}" sourceName="Product Category">
  <pivotTables>
    <pivotTable tabId="5" name="PivotTable3"/>
  </pivotTables>
  <data>
    <tabular pivotCacheId="152581409">
      <items count="3">
        <i x="0" s="1"/>
        <i x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439B29BE-A03B-437D-8F9F-2D9CDDE1F8CC}" cache="Slicer_Gender" caption="Gender" rowHeight="228600"/>
  <slicer name="Generation " xr10:uid="{221D5EDD-FD36-47A8-871A-62812D95DA65}" cache="Slicer_Generation" caption="Generation " rowHeight="228600"/>
  <slicer name="Product Category" xr10:uid="{1DC06148-388E-4E5C-9823-4270E8E97BFB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DB2DB-38B1-4E5F-8969-1CBF8E0FC935}">
  <dimension ref="A3:B7"/>
  <sheetViews>
    <sheetView workbookViewId="0">
      <selection activeCell="F4" sqref="F4"/>
    </sheetView>
  </sheetViews>
  <sheetFormatPr defaultRowHeight="15.75"/>
  <cols>
    <col min="1" max="1" width="18.375" bestFit="1" customWidth="1"/>
    <col min="2" max="2" width="16.25" bestFit="1" customWidth="1"/>
  </cols>
  <sheetData>
    <row r="3" spans="1:2">
      <c r="A3" s="20" t="s">
        <v>0</v>
      </c>
      <c r="B3" t="s">
        <v>1</v>
      </c>
    </row>
    <row r="4" spans="1:2">
      <c r="A4" t="s">
        <v>2</v>
      </c>
      <c r="B4" s="14">
        <v>0.31472587719298245</v>
      </c>
    </row>
    <row r="5" spans="1:2">
      <c r="A5" t="s">
        <v>3</v>
      </c>
      <c r="B5" s="14">
        <v>0.34118421052631581</v>
      </c>
    </row>
    <row r="6" spans="1:2">
      <c r="A6" t="s">
        <v>4</v>
      </c>
      <c r="B6" s="14">
        <v>0.34408991228070174</v>
      </c>
    </row>
    <row r="7" spans="1:2">
      <c r="A7" t="s">
        <v>5</v>
      </c>
      <c r="B7" s="14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09C7-10E8-4FEC-8768-134186031B76}">
  <dimension ref="A3:C13"/>
  <sheetViews>
    <sheetView workbookViewId="0">
      <selection activeCell="C4" sqref="C4"/>
    </sheetView>
  </sheetViews>
  <sheetFormatPr defaultRowHeight="15.75"/>
  <cols>
    <col min="1" max="1" width="18.375" bestFit="1" customWidth="1"/>
    <col min="2" max="2" width="10" bestFit="1" customWidth="1"/>
    <col min="3" max="3" width="16.25" bestFit="1" customWidth="1"/>
    <col min="4" max="4" width="10.75" bestFit="1" customWidth="1"/>
  </cols>
  <sheetData>
    <row r="3" spans="1:3">
      <c r="A3" s="20" t="s">
        <v>0</v>
      </c>
      <c r="B3" s="20" t="s">
        <v>6</v>
      </c>
      <c r="C3" t="s">
        <v>1</v>
      </c>
    </row>
    <row r="4" spans="1:3">
      <c r="A4" t="s">
        <v>2</v>
      </c>
      <c r="B4" t="s">
        <v>7</v>
      </c>
      <c r="C4" s="19">
        <v>74830</v>
      </c>
    </row>
    <row r="5" spans="1:3">
      <c r="B5" t="s">
        <v>8</v>
      </c>
      <c r="C5" s="19">
        <v>68685</v>
      </c>
    </row>
    <row r="6" spans="1:3">
      <c r="A6" t="s">
        <v>9</v>
      </c>
      <c r="C6" s="19">
        <v>143515</v>
      </c>
    </row>
    <row r="7" spans="1:3">
      <c r="A7" t="s">
        <v>3</v>
      </c>
      <c r="B7" t="s">
        <v>7</v>
      </c>
      <c r="C7" s="19">
        <v>81275</v>
      </c>
    </row>
    <row r="8" spans="1:3">
      <c r="B8" t="s">
        <v>8</v>
      </c>
      <c r="C8" s="19">
        <v>74305</v>
      </c>
    </row>
    <row r="9" spans="1:3">
      <c r="A9" t="s">
        <v>10</v>
      </c>
      <c r="C9" s="19">
        <v>155580</v>
      </c>
    </row>
    <row r="10" spans="1:3">
      <c r="A10" t="s">
        <v>4</v>
      </c>
      <c r="B10" t="s">
        <v>7</v>
      </c>
      <c r="C10" s="19">
        <v>76735</v>
      </c>
    </row>
    <row r="11" spans="1:3">
      <c r="B11" t="s">
        <v>8</v>
      </c>
      <c r="C11" s="19">
        <v>80170</v>
      </c>
    </row>
    <row r="12" spans="1:3">
      <c r="A12" t="s">
        <v>11</v>
      </c>
      <c r="C12" s="19">
        <v>156905</v>
      </c>
    </row>
    <row r="13" spans="1:3">
      <c r="A13" t="s">
        <v>5</v>
      </c>
      <c r="C13" s="19">
        <v>456000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C98BB-A966-4403-98D0-0FFF9E147AA6}">
  <dimension ref="A3:D8"/>
  <sheetViews>
    <sheetView tabSelected="1" topLeftCell="A3" workbookViewId="0">
      <selection activeCell="D15" sqref="D15"/>
    </sheetView>
  </sheetViews>
  <sheetFormatPr defaultRowHeight="15.75"/>
  <cols>
    <col min="1" max="1" width="18.375" bestFit="1" customWidth="1"/>
    <col min="2" max="2" width="10" bestFit="1" customWidth="1"/>
    <col min="3" max="3" width="13.75" bestFit="1" customWidth="1"/>
    <col min="4" max="4" width="16.25" bestFit="1" customWidth="1"/>
  </cols>
  <sheetData>
    <row r="3" spans="1:4">
      <c r="A3" s="20" t="s">
        <v>0</v>
      </c>
      <c r="B3" s="20" t="s">
        <v>6</v>
      </c>
      <c r="C3" s="20" t="s">
        <v>12</v>
      </c>
      <c r="D3" t="s">
        <v>1</v>
      </c>
    </row>
    <row r="4" spans="1:4">
      <c r="A4" t="s">
        <v>2</v>
      </c>
      <c r="B4" t="s">
        <v>7</v>
      </c>
      <c r="C4" t="s">
        <v>13</v>
      </c>
      <c r="D4" s="14">
        <v>0.5045385779122542</v>
      </c>
    </row>
    <row r="5" spans="1:4">
      <c r="C5" t="s">
        <v>14</v>
      </c>
      <c r="D5" s="14">
        <v>0.49546142208774585</v>
      </c>
    </row>
    <row r="6" spans="1:4">
      <c r="B6" t="s">
        <v>15</v>
      </c>
      <c r="D6" s="14">
        <v>1</v>
      </c>
    </row>
    <row r="7" spans="1:4">
      <c r="A7" t="s">
        <v>9</v>
      </c>
      <c r="D7" s="14">
        <v>1</v>
      </c>
    </row>
    <row r="8" spans="1:4">
      <c r="A8" t="s">
        <v>5</v>
      </c>
      <c r="D8" s="14">
        <v>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zoomScaleNormal="100" workbookViewId="0">
      <selection activeCell="E2" sqref="E2"/>
    </sheetView>
  </sheetViews>
  <sheetFormatPr defaultColWidth="11.25" defaultRowHeight="15.75"/>
  <cols>
    <col min="1" max="5" width="14.75" customWidth="1"/>
    <col min="6" max="6" width="10.625" bestFit="1" customWidth="1"/>
    <col min="7" max="7" width="13" customWidth="1"/>
    <col min="10" max="10" width="17.625" customWidth="1"/>
    <col min="11" max="11" width="17.125" customWidth="1"/>
    <col min="13" max="13" width="14.125" customWidth="1"/>
    <col min="15" max="15" width="17.625" style="15" customWidth="1"/>
    <col min="16" max="16" width="18.25" customWidth="1"/>
    <col min="17" max="17" width="19.375" customWidth="1"/>
  </cols>
  <sheetData>
    <row r="1" spans="1:21">
      <c r="A1" s="10" t="s">
        <v>16</v>
      </c>
      <c r="B1" s="11" t="s">
        <v>17</v>
      </c>
      <c r="C1" s="11" t="s">
        <v>18</v>
      </c>
      <c r="D1" s="11" t="s">
        <v>19</v>
      </c>
      <c r="E1" s="11" t="s">
        <v>20</v>
      </c>
      <c r="F1" s="11" t="s">
        <v>21</v>
      </c>
      <c r="G1" s="11" t="s">
        <v>22</v>
      </c>
      <c r="H1" s="11" t="s">
        <v>6</v>
      </c>
      <c r="I1" s="11" t="s">
        <v>23</v>
      </c>
      <c r="J1" s="11" t="s">
        <v>12</v>
      </c>
      <c r="K1" s="11" t="s">
        <v>0</v>
      </c>
      <c r="L1" s="11" t="s">
        <v>24</v>
      </c>
      <c r="M1" s="12" t="s">
        <v>25</v>
      </c>
      <c r="N1" s="13" t="s">
        <v>26</v>
      </c>
      <c r="O1" s="16" t="s">
        <v>27</v>
      </c>
    </row>
    <row r="2" spans="1:21">
      <c r="A2" s="2">
        <v>1</v>
      </c>
      <c r="B2" s="4">
        <f>YEAR(F2)</f>
        <v>2023</v>
      </c>
      <c r="C2" s="4">
        <f>MONTH(F2)</f>
        <v>11</v>
      </c>
      <c r="D2" s="4">
        <f>DAY(F2)</f>
        <v>24</v>
      </c>
      <c r="E2" s="4" t="str">
        <f>TEXT(F2,"dddd")</f>
        <v>Friday</v>
      </c>
      <c r="F2" s="3">
        <v>45254</v>
      </c>
      <c r="G2" s="4" t="s">
        <v>28</v>
      </c>
      <c r="H2" s="4" t="s">
        <v>8</v>
      </c>
      <c r="I2" s="4">
        <v>34</v>
      </c>
      <c r="J2" s="4" t="str" cm="1">
        <f t="array" ref="J2">_xlfn.IFS(I2&lt;30,"Young Adult", I2&lt;50,"Adult",I2 &gt;=50,"Seniors")</f>
        <v>Adult</v>
      </c>
      <c r="K2" s="4" t="s">
        <v>2</v>
      </c>
      <c r="L2" s="4">
        <v>3</v>
      </c>
      <c r="M2" s="5">
        <v>50</v>
      </c>
      <c r="N2">
        <f>L2*M2</f>
        <v>150</v>
      </c>
      <c r="O2" s="15">
        <f>N2*$R$3</f>
        <v>2.25</v>
      </c>
      <c r="R2" s="1" t="s">
        <v>29</v>
      </c>
    </row>
    <row r="3" spans="1:21">
      <c r="A3" s="2">
        <v>2</v>
      </c>
      <c r="B3" s="4">
        <f>YEAR(F3)</f>
        <v>2023</v>
      </c>
      <c r="C3" s="4">
        <f>MONTH(F3)</f>
        <v>2</v>
      </c>
      <c r="D3" s="4">
        <f>DAY(F3)</f>
        <v>27</v>
      </c>
      <c r="E3" s="4" t="str">
        <f t="shared" ref="E3:E66" si="0">TEXT(F3,"dddd")</f>
        <v>Monday</v>
      </c>
      <c r="F3" s="3">
        <v>44984</v>
      </c>
      <c r="G3" s="4" t="s">
        <v>30</v>
      </c>
      <c r="H3" s="4" t="s">
        <v>7</v>
      </c>
      <c r="I3" s="4">
        <v>26</v>
      </c>
      <c r="J3" s="4" t="str" cm="1">
        <f t="array" ref="J3">_xlfn.IFS(I3&lt;30,"Young Adult", I3&lt;50,"Adult",I3 &gt;=50,"Seniors")</f>
        <v>Young Adult</v>
      </c>
      <c r="K3" s="4" t="s">
        <v>3</v>
      </c>
      <c r="L3" s="4">
        <v>2</v>
      </c>
      <c r="M3" s="5">
        <v>500</v>
      </c>
      <c r="N3">
        <f>L3*M3</f>
        <v>1000</v>
      </c>
      <c r="O3" s="15">
        <f>N3*$R$3</f>
        <v>15</v>
      </c>
      <c r="Q3" s="1" t="s">
        <v>27</v>
      </c>
      <c r="R3" s="14">
        <v>1.4999999999999999E-2</v>
      </c>
    </row>
    <row r="4" spans="1:21">
      <c r="A4" s="2">
        <v>3</v>
      </c>
      <c r="B4" s="4">
        <f>YEAR(F4)</f>
        <v>2023</v>
      </c>
      <c r="C4" s="4">
        <f>MONTH(F4)</f>
        <v>1</v>
      </c>
      <c r="D4" s="4">
        <f>DAY(F4)</f>
        <v>13</v>
      </c>
      <c r="E4" s="4" t="str">
        <f t="shared" si="0"/>
        <v>Friday</v>
      </c>
      <c r="F4" s="3">
        <v>44939</v>
      </c>
      <c r="G4" s="4" t="s">
        <v>31</v>
      </c>
      <c r="H4" s="4" t="s">
        <v>8</v>
      </c>
      <c r="I4" s="4">
        <v>50</v>
      </c>
      <c r="J4" s="4" t="str" cm="1">
        <f t="array" ref="J4">_xlfn.IFS(I4&lt;30,"Young Adult", I4&lt;50,"Adult",I4 &gt;=50,"Seniors")</f>
        <v>Seniors</v>
      </c>
      <c r="K4" s="4" t="s">
        <v>4</v>
      </c>
      <c r="L4" s="4">
        <v>1</v>
      </c>
      <c r="M4" s="5">
        <v>30</v>
      </c>
      <c r="N4">
        <f>L4*M4</f>
        <v>30</v>
      </c>
      <c r="O4" s="15">
        <f>N4*$R$3</f>
        <v>0.44999999999999996</v>
      </c>
    </row>
    <row r="5" spans="1:21">
      <c r="A5" s="2">
        <v>4</v>
      </c>
      <c r="B5" s="4">
        <f>YEAR(F5)</f>
        <v>2023</v>
      </c>
      <c r="C5" s="4">
        <f>MONTH(F5)</f>
        <v>5</v>
      </c>
      <c r="D5" s="4">
        <f>DAY(F5)</f>
        <v>21</v>
      </c>
      <c r="E5" s="4" t="str">
        <f t="shared" si="0"/>
        <v>Sunday</v>
      </c>
      <c r="F5" s="3">
        <v>45067</v>
      </c>
      <c r="G5" s="4" t="s">
        <v>32</v>
      </c>
      <c r="H5" s="4" t="s">
        <v>8</v>
      </c>
      <c r="I5" s="4">
        <v>37</v>
      </c>
      <c r="J5" s="4" t="str" cm="1">
        <f t="array" ref="J5">_xlfn.IFS(I5&lt;30,"Young Adult", I5&lt;50,"Adult",I5 &gt;=50,"Seniors")</f>
        <v>Adult</v>
      </c>
      <c r="K5" s="4" t="s">
        <v>3</v>
      </c>
      <c r="L5" s="4">
        <v>1</v>
      </c>
      <c r="M5" s="5">
        <v>500</v>
      </c>
      <c r="N5">
        <f>L5*M5</f>
        <v>500</v>
      </c>
      <c r="O5" s="15">
        <f>N5*$R$3</f>
        <v>7.5</v>
      </c>
    </row>
    <row r="6" spans="1:21">
      <c r="A6" s="2">
        <v>5</v>
      </c>
      <c r="B6" s="4">
        <f>YEAR(F6)</f>
        <v>2023</v>
      </c>
      <c r="C6" s="4">
        <f>MONTH(F6)</f>
        <v>5</v>
      </c>
      <c r="D6" s="4">
        <f>DAY(F6)</f>
        <v>6</v>
      </c>
      <c r="E6" s="4" t="str">
        <f t="shared" si="0"/>
        <v>Saturday</v>
      </c>
      <c r="F6" s="3">
        <v>45052</v>
      </c>
      <c r="G6" s="4" t="s">
        <v>33</v>
      </c>
      <c r="H6" s="4" t="s">
        <v>8</v>
      </c>
      <c r="I6" s="4">
        <v>30</v>
      </c>
      <c r="J6" s="4" t="str" cm="1">
        <f t="array" ref="J6">_xlfn.IFS(I6&lt;30,"Young Adult", I6&lt;50,"Adult",I6 &gt;=50,"Seniors")</f>
        <v>Adult</v>
      </c>
      <c r="K6" s="4" t="s">
        <v>2</v>
      </c>
      <c r="L6" s="4">
        <v>2</v>
      </c>
      <c r="M6" s="5">
        <v>50</v>
      </c>
      <c r="N6">
        <f>L6*M6</f>
        <v>100</v>
      </c>
      <c r="O6" s="15">
        <f>N6*$R$3</f>
        <v>1.5</v>
      </c>
    </row>
    <row r="7" spans="1:21">
      <c r="A7" s="2">
        <v>6</v>
      </c>
      <c r="B7" s="4">
        <f>YEAR(F7)</f>
        <v>2023</v>
      </c>
      <c r="C7" s="4">
        <f>MONTH(F7)</f>
        <v>4</v>
      </c>
      <c r="D7" s="4">
        <f>DAY(F7)</f>
        <v>25</v>
      </c>
      <c r="E7" s="4" t="str">
        <f t="shared" si="0"/>
        <v>Tuesday</v>
      </c>
      <c r="F7" s="3">
        <v>45041</v>
      </c>
      <c r="G7" s="4" t="s">
        <v>34</v>
      </c>
      <c r="H7" s="4" t="s">
        <v>7</v>
      </c>
      <c r="I7" s="4">
        <v>45</v>
      </c>
      <c r="J7" s="4" t="str" cm="1">
        <f t="array" ref="J7">_xlfn.IFS(I7&lt;30,"Young Adult", I7&lt;50,"Adult",I7 &gt;=50,"Seniors")</f>
        <v>Adult</v>
      </c>
      <c r="K7" s="4" t="s">
        <v>2</v>
      </c>
      <c r="L7" s="4">
        <v>1</v>
      </c>
      <c r="M7" s="5">
        <v>30</v>
      </c>
      <c r="N7">
        <f>L7*M7</f>
        <v>30</v>
      </c>
      <c r="O7" s="15">
        <f>N7*$R$3</f>
        <v>0.44999999999999996</v>
      </c>
    </row>
    <row r="8" spans="1:21">
      <c r="A8" s="2">
        <v>7</v>
      </c>
      <c r="B8" s="4">
        <f>YEAR(F8)</f>
        <v>2023</v>
      </c>
      <c r="C8" s="4">
        <f>MONTH(F8)</f>
        <v>3</v>
      </c>
      <c r="D8" s="4">
        <f>DAY(F8)</f>
        <v>13</v>
      </c>
      <c r="E8" s="4" t="str">
        <f t="shared" si="0"/>
        <v>Monday</v>
      </c>
      <c r="F8" s="3">
        <v>44998</v>
      </c>
      <c r="G8" s="4" t="s">
        <v>35</v>
      </c>
      <c r="H8" s="4" t="s">
        <v>8</v>
      </c>
      <c r="I8" s="4">
        <v>46</v>
      </c>
      <c r="J8" s="4" t="str" cm="1">
        <f t="array" ref="J8">_xlfn.IFS(I8&lt;30,"Young Adult", I8&lt;50,"Adult",I8 &gt;=50,"Seniors")</f>
        <v>Adult</v>
      </c>
      <c r="K8" s="4" t="s">
        <v>3</v>
      </c>
      <c r="L8" s="4">
        <v>2</v>
      </c>
      <c r="M8" s="5">
        <v>25</v>
      </c>
      <c r="N8">
        <f>L8*M8</f>
        <v>50</v>
      </c>
      <c r="O8" s="15">
        <f>N8*$R$3</f>
        <v>0.75</v>
      </c>
      <c r="R8" s="1" t="s">
        <v>26</v>
      </c>
    </row>
    <row r="9" spans="1:21">
      <c r="A9" s="2">
        <v>8</v>
      </c>
      <c r="B9" s="4">
        <f>YEAR(F9)</f>
        <v>2023</v>
      </c>
      <c r="C9" s="4">
        <f>MONTH(F9)</f>
        <v>2</v>
      </c>
      <c r="D9" s="4">
        <f>DAY(F9)</f>
        <v>22</v>
      </c>
      <c r="E9" s="4" t="str">
        <f t="shared" si="0"/>
        <v>Wednesday</v>
      </c>
      <c r="F9" s="3">
        <v>44979</v>
      </c>
      <c r="G9" s="4" t="s">
        <v>36</v>
      </c>
      <c r="H9" s="4" t="s">
        <v>8</v>
      </c>
      <c r="I9" s="4">
        <v>30</v>
      </c>
      <c r="J9" s="4" t="str" cm="1">
        <f t="array" ref="J9">_xlfn.IFS(I9&lt;30,"Young Adult", I9&lt;50,"Adult",I9 &gt;=50,"Seniors")</f>
        <v>Adult</v>
      </c>
      <c r="K9" s="4" t="s">
        <v>4</v>
      </c>
      <c r="L9" s="4">
        <v>4</v>
      </c>
      <c r="M9" s="5">
        <v>25</v>
      </c>
      <c r="N9">
        <f>L9*M9</f>
        <v>100</v>
      </c>
      <c r="O9" s="15">
        <f>N9*$R$3</f>
        <v>1.5</v>
      </c>
      <c r="P9" s="1" t="s">
        <v>37</v>
      </c>
      <c r="Q9" s="1" t="s">
        <v>38</v>
      </c>
      <c r="R9">
        <f>SUM(N:N)</f>
        <v>456000</v>
      </c>
    </row>
    <row r="10" spans="1:21">
      <c r="A10" s="2">
        <v>9</v>
      </c>
      <c r="B10" s="4">
        <f>YEAR(F10)</f>
        <v>2023</v>
      </c>
      <c r="C10" s="4">
        <f>MONTH(F10)</f>
        <v>12</v>
      </c>
      <c r="D10" s="4">
        <f>DAY(F10)</f>
        <v>13</v>
      </c>
      <c r="E10" s="4" t="str">
        <f t="shared" si="0"/>
        <v>Wednesday</v>
      </c>
      <c r="F10" s="3">
        <v>45273</v>
      </c>
      <c r="G10" s="4" t="s">
        <v>39</v>
      </c>
      <c r="H10" s="4" t="s">
        <v>8</v>
      </c>
      <c r="I10" s="4">
        <v>63</v>
      </c>
      <c r="J10" s="4" t="str" cm="1">
        <f t="array" ref="J10">_xlfn.IFS(I10&lt;30,"Young Adult", I10&lt;50,"Adult",I10 &gt;=50,"Seniors")</f>
        <v>Seniors</v>
      </c>
      <c r="K10" s="4" t="s">
        <v>4</v>
      </c>
      <c r="L10" s="4">
        <v>2</v>
      </c>
      <c r="M10" s="5">
        <v>300</v>
      </c>
      <c r="N10">
        <f>L10*M10</f>
        <v>600</v>
      </c>
      <c r="O10" s="15">
        <f>N10*$R$3</f>
        <v>9</v>
      </c>
      <c r="P10" s="17">
        <f>SUM(O:O)</f>
        <v>6840</v>
      </c>
    </row>
    <row r="11" spans="1:21">
      <c r="A11" s="2">
        <v>10</v>
      </c>
      <c r="B11" s="4">
        <f>YEAR(F11)</f>
        <v>2023</v>
      </c>
      <c r="C11" s="4">
        <f>MONTH(F11)</f>
        <v>10</v>
      </c>
      <c r="D11" s="4">
        <f>DAY(F11)</f>
        <v>7</v>
      </c>
      <c r="E11" s="4" t="str">
        <f t="shared" si="0"/>
        <v>Saturday</v>
      </c>
      <c r="F11" s="3">
        <v>45206</v>
      </c>
      <c r="G11" s="4" t="s">
        <v>40</v>
      </c>
      <c r="H11" s="4" t="s">
        <v>7</v>
      </c>
      <c r="I11" s="4">
        <v>52</v>
      </c>
      <c r="J11" s="4" t="str" cm="1">
        <f t="array" ref="J11">_xlfn.IFS(I11&lt;30,"Young Adult", I11&lt;50,"Adult",I11 &gt;=50,"Seniors")</f>
        <v>Seniors</v>
      </c>
      <c r="K11" s="4" t="s">
        <v>3</v>
      </c>
      <c r="L11" s="4">
        <v>4</v>
      </c>
      <c r="M11" s="5">
        <v>50</v>
      </c>
      <c r="N11">
        <f>L11*M11</f>
        <v>200</v>
      </c>
      <c r="O11" s="15">
        <f>N11*$R$3</f>
        <v>3</v>
      </c>
      <c r="P11" s="18">
        <f>AVERAGE(O:O)</f>
        <v>6.84</v>
      </c>
    </row>
    <row r="12" spans="1:21">
      <c r="A12" s="2">
        <v>11</v>
      </c>
      <c r="B12" s="4">
        <f>YEAR(F12)</f>
        <v>2023</v>
      </c>
      <c r="C12" s="4">
        <f>MONTH(F12)</f>
        <v>2</v>
      </c>
      <c r="D12" s="4">
        <f>DAY(F12)</f>
        <v>14</v>
      </c>
      <c r="E12" s="4" t="str">
        <f t="shared" si="0"/>
        <v>Tuesday</v>
      </c>
      <c r="F12" s="3">
        <v>44971</v>
      </c>
      <c r="G12" s="4" t="s">
        <v>41</v>
      </c>
      <c r="H12" s="4" t="s">
        <v>8</v>
      </c>
      <c r="I12" s="4">
        <v>23</v>
      </c>
      <c r="J12" s="4" t="str" cm="1">
        <f t="array" ref="J12">_xlfn.IFS(I12&lt;30,"Young Adult", I12&lt;50,"Adult",I12 &gt;=50,"Seniors")</f>
        <v>Young Adult</v>
      </c>
      <c r="K12" s="4" t="s">
        <v>3</v>
      </c>
      <c r="L12" s="4">
        <v>2</v>
      </c>
      <c r="M12" s="5">
        <v>50</v>
      </c>
      <c r="N12">
        <f>L12*M12</f>
        <v>100</v>
      </c>
      <c r="O12" s="15">
        <f>N12*$R$3</f>
        <v>1.5</v>
      </c>
      <c r="S12" t="s">
        <v>24</v>
      </c>
      <c r="U12" s="13" t="s">
        <v>42</v>
      </c>
    </row>
    <row r="13" spans="1:21">
      <c r="A13" s="2">
        <v>12</v>
      </c>
      <c r="B13" s="4">
        <f>YEAR(F13)</f>
        <v>2023</v>
      </c>
      <c r="C13" s="4">
        <f>MONTH(F13)</f>
        <v>10</v>
      </c>
      <c r="D13" s="4">
        <f>DAY(F13)</f>
        <v>30</v>
      </c>
      <c r="E13" s="4" t="str">
        <f t="shared" si="0"/>
        <v>Monday</v>
      </c>
      <c r="F13" s="3">
        <v>45229</v>
      </c>
      <c r="G13" s="4" t="s">
        <v>43</v>
      </c>
      <c r="H13" s="4" t="s">
        <v>8</v>
      </c>
      <c r="I13" s="4">
        <v>35</v>
      </c>
      <c r="J13" s="4" t="str" cm="1">
        <f t="array" ref="J13">_xlfn.IFS(I13&lt;30,"Young Adult", I13&lt;50,"Adult",I13 &gt;=50,"Seniors")</f>
        <v>Adult</v>
      </c>
      <c r="K13" s="4" t="s">
        <v>2</v>
      </c>
      <c r="L13" s="4">
        <v>3</v>
      </c>
      <c r="M13" s="5">
        <v>25</v>
      </c>
      <c r="N13">
        <f>L13*M13</f>
        <v>75</v>
      </c>
      <c r="O13" s="15">
        <f>N13*$R$3</f>
        <v>1.125</v>
      </c>
      <c r="Q13" s="1" t="str" cm="1">
        <f t="array" ref="Q13:Q17">_xlfn.UNIQUE(K:K)</f>
        <v>Product Category</v>
      </c>
      <c r="R13" t="s">
        <v>44</v>
      </c>
      <c r="S13" t="s">
        <v>7</v>
      </c>
      <c r="T13" t="s">
        <v>8</v>
      </c>
      <c r="U13">
        <f>AVERAGE(N:N)</f>
        <v>456</v>
      </c>
    </row>
    <row r="14" spans="1:21">
      <c r="A14" s="2">
        <v>13</v>
      </c>
      <c r="B14" s="4">
        <f>YEAR(F14)</f>
        <v>2023</v>
      </c>
      <c r="C14" s="4">
        <f>MONTH(F14)</f>
        <v>8</v>
      </c>
      <c r="D14" s="4">
        <f>DAY(F14)</f>
        <v>5</v>
      </c>
      <c r="E14" s="4" t="str">
        <f t="shared" si="0"/>
        <v>Saturday</v>
      </c>
      <c r="F14" s="3">
        <v>45143</v>
      </c>
      <c r="G14" s="4" t="s">
        <v>45</v>
      </c>
      <c r="H14" s="4" t="s">
        <v>8</v>
      </c>
      <c r="I14" s="4">
        <v>22</v>
      </c>
      <c r="J14" s="4" t="str" cm="1">
        <f t="array" ref="J14">_xlfn.IFS(I14&lt;30,"Young Adult", I14&lt;50,"Adult",I14 &gt;=50,"Seniors")</f>
        <v>Young Adult</v>
      </c>
      <c r="K14" s="4" t="s">
        <v>4</v>
      </c>
      <c r="L14" s="4">
        <v>3</v>
      </c>
      <c r="M14" s="5">
        <v>500</v>
      </c>
      <c r="N14">
        <f>L14*M14</f>
        <v>1500</v>
      </c>
      <c r="O14" s="15">
        <f>N14*$R$3</f>
        <v>22.5</v>
      </c>
      <c r="Q14" t="str">
        <v>Beauty</v>
      </c>
      <c r="R14">
        <f>SUMIF(K:K,"Beauty",N:N)</f>
        <v>143515</v>
      </c>
      <c r="S14">
        <f>SUMIFS(L:L,K:K,"Beauty",H:H,"Female")</f>
        <v>418</v>
      </c>
    </row>
    <row r="15" spans="1:21">
      <c r="A15" s="2">
        <v>14</v>
      </c>
      <c r="B15" s="4">
        <f>YEAR(F15)</f>
        <v>2023</v>
      </c>
      <c r="C15" s="4">
        <f>MONTH(F15)</f>
        <v>1</v>
      </c>
      <c r="D15" s="4">
        <f>DAY(F15)</f>
        <v>17</v>
      </c>
      <c r="E15" s="4" t="str">
        <f t="shared" si="0"/>
        <v>Tuesday</v>
      </c>
      <c r="F15" s="3">
        <v>44943</v>
      </c>
      <c r="G15" s="4" t="s">
        <v>46</v>
      </c>
      <c r="H15" s="4" t="s">
        <v>8</v>
      </c>
      <c r="I15" s="4">
        <v>64</v>
      </c>
      <c r="J15" s="4" t="str" cm="1">
        <f t="array" ref="J15">_xlfn.IFS(I15&lt;30,"Young Adult", I15&lt;50,"Adult",I15 &gt;=50,"Seniors")</f>
        <v>Seniors</v>
      </c>
      <c r="K15" s="4" t="s">
        <v>3</v>
      </c>
      <c r="L15" s="4">
        <v>4</v>
      </c>
      <c r="M15" s="5">
        <v>30</v>
      </c>
      <c r="N15">
        <f>L15*M15</f>
        <v>120</v>
      </c>
      <c r="O15" s="15">
        <f>N15*$R$3</f>
        <v>1.7999999999999998</v>
      </c>
      <c r="Q15" t="str">
        <v>Clothing</v>
      </c>
      <c r="R15">
        <f>SUMIF(K:K,"Clothing", N:N)</f>
        <v>155580</v>
      </c>
      <c r="S15">
        <f>SUMIFS(L:L,K:K,"Clothing",H:H,"Female")</f>
        <v>441</v>
      </c>
    </row>
    <row r="16" spans="1:21">
      <c r="A16" s="2">
        <v>15</v>
      </c>
      <c r="B16" s="4">
        <f>YEAR(F16)</f>
        <v>2023</v>
      </c>
      <c r="C16" s="4">
        <f>MONTH(F16)</f>
        <v>1</v>
      </c>
      <c r="D16" s="4">
        <f>DAY(F16)</f>
        <v>16</v>
      </c>
      <c r="E16" s="4" t="str">
        <f t="shared" si="0"/>
        <v>Monday</v>
      </c>
      <c r="F16" s="3">
        <v>44942</v>
      </c>
      <c r="G16" s="4" t="s">
        <v>47</v>
      </c>
      <c r="H16" s="4" t="s">
        <v>7</v>
      </c>
      <c r="I16" s="4">
        <v>42</v>
      </c>
      <c r="J16" s="4" t="str" cm="1">
        <f t="array" ref="J16">_xlfn.IFS(I16&lt;30,"Young Adult", I16&lt;50,"Adult",I16 &gt;=50,"Seniors")</f>
        <v>Adult</v>
      </c>
      <c r="K16" s="4" t="s">
        <v>4</v>
      </c>
      <c r="L16" s="4">
        <v>4</v>
      </c>
      <c r="M16" s="5">
        <v>500</v>
      </c>
      <c r="N16">
        <f>L16*M16</f>
        <v>2000</v>
      </c>
      <c r="O16" s="15">
        <f>N16*$R$3</f>
        <v>30</v>
      </c>
      <c r="Q16" t="str">
        <v>Electronics</v>
      </c>
      <c r="R16">
        <f>SUMIF(K:K,"Electronics",N:N)</f>
        <v>156905</v>
      </c>
    </row>
    <row r="17" spans="1:19">
      <c r="A17" s="2">
        <v>16</v>
      </c>
      <c r="B17" s="4">
        <f>YEAR(F17)</f>
        <v>2023</v>
      </c>
      <c r="C17" s="4">
        <f>MONTH(F17)</f>
        <v>2</v>
      </c>
      <c r="D17" s="4">
        <f>DAY(F17)</f>
        <v>17</v>
      </c>
      <c r="E17" s="4" t="str">
        <f t="shared" si="0"/>
        <v>Friday</v>
      </c>
      <c r="F17" s="3">
        <v>44974</v>
      </c>
      <c r="G17" s="4" t="s">
        <v>48</v>
      </c>
      <c r="H17" s="4" t="s">
        <v>8</v>
      </c>
      <c r="I17" s="4">
        <v>19</v>
      </c>
      <c r="J17" s="4" t="str" cm="1">
        <f t="array" ref="J17">_xlfn.IFS(I17&lt;30,"Young Adult", I17&lt;50,"Adult",I17 &gt;=50,"Seniors")</f>
        <v>Young Adult</v>
      </c>
      <c r="K17" s="4" t="s">
        <v>3</v>
      </c>
      <c r="L17" s="4">
        <v>3</v>
      </c>
      <c r="M17" s="5">
        <v>500</v>
      </c>
      <c r="N17">
        <f>L17*M17</f>
        <v>1500</v>
      </c>
      <c r="O17" s="15">
        <f>N17*$R$3</f>
        <v>22.5</v>
      </c>
      <c r="Q17">
        <v>0</v>
      </c>
    </row>
    <row r="18" spans="1:19">
      <c r="A18" s="2">
        <v>17</v>
      </c>
      <c r="B18" s="4">
        <f>YEAR(F18)</f>
        <v>2023</v>
      </c>
      <c r="C18" s="4">
        <f>MONTH(F18)</f>
        <v>4</v>
      </c>
      <c r="D18" s="4">
        <f>DAY(F18)</f>
        <v>22</v>
      </c>
      <c r="E18" s="4" t="str">
        <f t="shared" si="0"/>
        <v>Saturday</v>
      </c>
      <c r="F18" s="3">
        <v>45038</v>
      </c>
      <c r="G18" s="4" t="s">
        <v>49</v>
      </c>
      <c r="H18" s="4" t="s">
        <v>7</v>
      </c>
      <c r="I18" s="4">
        <v>27</v>
      </c>
      <c r="J18" s="4" t="str" cm="1">
        <f t="array" ref="J18">_xlfn.IFS(I18&lt;30,"Young Adult", I18&lt;50,"Adult",I18 &gt;=50,"Seniors")</f>
        <v>Young Adult</v>
      </c>
      <c r="K18" s="4" t="s">
        <v>3</v>
      </c>
      <c r="L18" s="4">
        <v>4</v>
      </c>
      <c r="M18" s="5">
        <v>25</v>
      </c>
      <c r="N18">
        <f>L18*M18</f>
        <v>100</v>
      </c>
      <c r="O18" s="15">
        <f>N18*$R$3</f>
        <v>1.5</v>
      </c>
    </row>
    <row r="19" spans="1:19">
      <c r="A19" s="2">
        <v>18</v>
      </c>
      <c r="B19" s="4">
        <f>YEAR(F19)</f>
        <v>2023</v>
      </c>
      <c r="C19" s="4">
        <f>MONTH(F19)</f>
        <v>4</v>
      </c>
      <c r="D19" s="4">
        <f>DAY(F19)</f>
        <v>30</v>
      </c>
      <c r="E19" s="4" t="str">
        <f t="shared" si="0"/>
        <v>Sunday</v>
      </c>
      <c r="F19" s="3">
        <v>45046</v>
      </c>
      <c r="G19" s="4" t="s">
        <v>50</v>
      </c>
      <c r="H19" s="4" t="s">
        <v>7</v>
      </c>
      <c r="I19" s="4">
        <v>47</v>
      </c>
      <c r="J19" s="4" t="str" cm="1">
        <f t="array" ref="J19">_xlfn.IFS(I19&lt;30,"Young Adult", I19&lt;50,"Adult",I19 &gt;=50,"Seniors")</f>
        <v>Adult</v>
      </c>
      <c r="K19" s="4" t="s">
        <v>4</v>
      </c>
      <c r="L19" s="4">
        <v>2</v>
      </c>
      <c r="M19" s="5">
        <v>25</v>
      </c>
      <c r="N19">
        <f>L19*M19</f>
        <v>50</v>
      </c>
      <c r="O19" s="15">
        <f>N19*$R$3</f>
        <v>0.75</v>
      </c>
      <c r="Q19" s="1" t="s">
        <v>0</v>
      </c>
      <c r="R19" t="s">
        <v>7</v>
      </c>
    </row>
    <row r="20" spans="1:19">
      <c r="A20" s="2">
        <v>19</v>
      </c>
      <c r="B20" s="4">
        <f>YEAR(F20)</f>
        <v>2023</v>
      </c>
      <c r="C20" s="4">
        <f>MONTH(F20)</f>
        <v>9</v>
      </c>
      <c r="D20" s="4">
        <f>DAY(F20)</f>
        <v>16</v>
      </c>
      <c r="E20" s="4" t="str">
        <f t="shared" si="0"/>
        <v>Saturday</v>
      </c>
      <c r="F20" s="3">
        <v>45185</v>
      </c>
      <c r="G20" s="4" t="s">
        <v>51</v>
      </c>
      <c r="H20" s="4" t="s">
        <v>7</v>
      </c>
      <c r="I20" s="4">
        <v>62</v>
      </c>
      <c r="J20" s="4" t="str" cm="1">
        <f t="array" ref="J20">_xlfn.IFS(I20&lt;30,"Young Adult", I20&lt;50,"Adult",I20 &gt;=50,"Seniors")</f>
        <v>Seniors</v>
      </c>
      <c r="K20" s="4" t="s">
        <v>3</v>
      </c>
      <c r="L20" s="4">
        <v>2</v>
      </c>
      <c r="M20" s="5">
        <v>25</v>
      </c>
      <c r="N20">
        <f>L20*M20</f>
        <v>50</v>
      </c>
      <c r="O20" s="15">
        <f>N20*$R$3</f>
        <v>0.75</v>
      </c>
      <c r="Q20" t="str" cm="1">
        <f t="array" ref="Q20:Q22">_xlfn.UNIQUE(K2:K1001)</f>
        <v>Beauty</v>
      </c>
      <c r="R20">
        <f>SUMIFS(L:L,K:K,"Beauty",H:H, "Female")</f>
        <v>418</v>
      </c>
      <c r="S20">
        <f>SUMIFS(M:M,L:L,"Beauty",I:I, "Female")</f>
        <v>0</v>
      </c>
    </row>
    <row r="21" spans="1:19">
      <c r="A21" s="2">
        <v>20</v>
      </c>
      <c r="B21" s="4">
        <f>YEAR(F21)</f>
        <v>2023</v>
      </c>
      <c r="C21" s="4">
        <f>MONTH(F21)</f>
        <v>11</v>
      </c>
      <c r="D21" s="4">
        <f>DAY(F21)</f>
        <v>5</v>
      </c>
      <c r="E21" s="4" t="str">
        <f t="shared" si="0"/>
        <v>Sunday</v>
      </c>
      <c r="F21" s="3">
        <v>45235</v>
      </c>
      <c r="G21" s="4" t="s">
        <v>52</v>
      </c>
      <c r="H21" s="4" t="s">
        <v>8</v>
      </c>
      <c r="I21" s="4">
        <v>22</v>
      </c>
      <c r="J21" s="4" t="str" cm="1">
        <f t="array" ref="J21">_xlfn.IFS(I21&lt;30,"Young Adult", I21&lt;50,"Adult",I21 &gt;=50,"Seniors")</f>
        <v>Young Adult</v>
      </c>
      <c r="K21" s="4" t="s">
        <v>3</v>
      </c>
      <c r="L21" s="4">
        <v>3</v>
      </c>
      <c r="M21" s="5">
        <v>300</v>
      </c>
      <c r="N21">
        <f>L21*M21</f>
        <v>900</v>
      </c>
      <c r="O21" s="15">
        <f>N21*$R$3</f>
        <v>13.5</v>
      </c>
      <c r="Q21" t="str">
        <v>Clothing</v>
      </c>
      <c r="R21">
        <f>SUMIFS(L:L,K:K,"Clothing",H:H,"Female")</f>
        <v>441</v>
      </c>
    </row>
    <row r="22" spans="1:19">
      <c r="A22" s="2">
        <v>21</v>
      </c>
      <c r="B22" s="4">
        <f>YEAR(F22)</f>
        <v>2023</v>
      </c>
      <c r="C22" s="4">
        <f>MONTH(F22)</f>
        <v>1</v>
      </c>
      <c r="D22" s="4">
        <f>DAY(F22)</f>
        <v>14</v>
      </c>
      <c r="E22" s="4" t="str">
        <f t="shared" si="0"/>
        <v>Saturday</v>
      </c>
      <c r="F22" s="3">
        <v>44940</v>
      </c>
      <c r="G22" s="4" t="s">
        <v>53</v>
      </c>
      <c r="H22" s="4" t="s">
        <v>7</v>
      </c>
      <c r="I22" s="4">
        <v>50</v>
      </c>
      <c r="J22" s="4" t="str" cm="1">
        <f t="array" ref="J22">_xlfn.IFS(I22&lt;30,"Young Adult", I22&lt;50,"Adult",I22 &gt;=50,"Seniors")</f>
        <v>Seniors</v>
      </c>
      <c r="K22" s="4" t="s">
        <v>2</v>
      </c>
      <c r="L22" s="4">
        <v>1</v>
      </c>
      <c r="M22" s="5">
        <v>500</v>
      </c>
      <c r="N22">
        <f>L22*M22</f>
        <v>500</v>
      </c>
      <c r="O22" s="15">
        <f>N22*$R$3</f>
        <v>7.5</v>
      </c>
      <c r="Q22" t="str">
        <v>Electronics</v>
      </c>
      <c r="R22">
        <f>SUMIFS(L:L,K:K,"Electronics",H:H,"Female")</f>
        <v>439</v>
      </c>
    </row>
    <row r="23" spans="1:19">
      <c r="A23" s="2">
        <v>22</v>
      </c>
      <c r="B23" s="4">
        <f>YEAR(F23)</f>
        <v>2023</v>
      </c>
      <c r="C23" s="4">
        <f>MONTH(F23)</f>
        <v>10</v>
      </c>
      <c r="D23" s="4">
        <f>DAY(F23)</f>
        <v>15</v>
      </c>
      <c r="E23" s="4" t="str">
        <f t="shared" si="0"/>
        <v>Sunday</v>
      </c>
      <c r="F23" s="3">
        <v>45214</v>
      </c>
      <c r="G23" s="4" t="s">
        <v>54</v>
      </c>
      <c r="H23" s="4" t="s">
        <v>8</v>
      </c>
      <c r="I23" s="4">
        <v>18</v>
      </c>
      <c r="J23" s="4" t="str" cm="1">
        <f t="array" ref="J23">_xlfn.IFS(I23&lt;30,"Young Adult", I23&lt;50,"Adult",I23 &gt;=50,"Seniors")</f>
        <v>Young Adult</v>
      </c>
      <c r="K23" s="4" t="s">
        <v>3</v>
      </c>
      <c r="L23" s="4">
        <v>2</v>
      </c>
      <c r="M23" s="5">
        <v>50</v>
      </c>
      <c r="N23">
        <f>L23*M23</f>
        <v>100</v>
      </c>
      <c r="O23" s="15">
        <f>N23*$R$3</f>
        <v>1.5</v>
      </c>
    </row>
    <row r="24" spans="1:19">
      <c r="A24" s="2">
        <v>23</v>
      </c>
      <c r="B24" s="4">
        <f>YEAR(F24)</f>
        <v>2023</v>
      </c>
      <c r="C24" s="4">
        <f>MONTH(F24)</f>
        <v>4</v>
      </c>
      <c r="D24" s="4">
        <f>DAY(F24)</f>
        <v>12</v>
      </c>
      <c r="E24" s="4" t="str">
        <f t="shared" si="0"/>
        <v>Wednesday</v>
      </c>
      <c r="F24" s="3">
        <v>45028</v>
      </c>
      <c r="G24" s="4" t="s">
        <v>55</v>
      </c>
      <c r="H24" s="4" t="s">
        <v>7</v>
      </c>
      <c r="I24" s="4">
        <v>35</v>
      </c>
      <c r="J24" s="4" t="str" cm="1">
        <f t="array" ref="J24">_xlfn.IFS(I24&lt;30,"Young Adult", I24&lt;50,"Adult",I24 &gt;=50,"Seniors")</f>
        <v>Adult</v>
      </c>
      <c r="K24" s="4" t="s">
        <v>3</v>
      </c>
      <c r="L24" s="4">
        <v>4</v>
      </c>
      <c r="M24" s="5">
        <v>30</v>
      </c>
      <c r="N24">
        <f>L24*M24</f>
        <v>120</v>
      </c>
      <c r="O24" s="15">
        <f>N24*$R$3</f>
        <v>1.7999999999999998</v>
      </c>
    </row>
    <row r="25" spans="1:19">
      <c r="A25" s="2">
        <v>24</v>
      </c>
      <c r="B25" s="4">
        <f>YEAR(F25)</f>
        <v>2023</v>
      </c>
      <c r="C25" s="4">
        <f>MONTH(F25)</f>
        <v>11</v>
      </c>
      <c r="D25" s="4">
        <f>DAY(F25)</f>
        <v>29</v>
      </c>
      <c r="E25" s="4" t="str">
        <f t="shared" si="0"/>
        <v>Wednesday</v>
      </c>
      <c r="F25" s="3">
        <v>45259</v>
      </c>
      <c r="G25" s="4" t="s">
        <v>56</v>
      </c>
      <c r="H25" s="4" t="s">
        <v>7</v>
      </c>
      <c r="I25" s="4">
        <v>49</v>
      </c>
      <c r="J25" s="4" t="str" cm="1">
        <f t="array" ref="J25">_xlfn.IFS(I25&lt;30,"Young Adult", I25&lt;50,"Adult",I25 &gt;=50,"Seniors")</f>
        <v>Adult</v>
      </c>
      <c r="K25" s="4" t="s">
        <v>3</v>
      </c>
      <c r="L25" s="4">
        <v>1</v>
      </c>
      <c r="M25" s="5">
        <v>300</v>
      </c>
      <c r="N25">
        <f>L25*M25</f>
        <v>300</v>
      </c>
      <c r="O25" s="15">
        <f>N25*$R$3</f>
        <v>4.5</v>
      </c>
    </row>
    <row r="26" spans="1:19">
      <c r="A26" s="2">
        <v>25</v>
      </c>
      <c r="B26" s="4">
        <f>YEAR(F26)</f>
        <v>2023</v>
      </c>
      <c r="C26" s="4">
        <f>MONTH(F26)</f>
        <v>12</v>
      </c>
      <c r="D26" s="4">
        <f>DAY(F26)</f>
        <v>26</v>
      </c>
      <c r="E26" s="4" t="str">
        <f t="shared" si="0"/>
        <v>Tuesday</v>
      </c>
      <c r="F26" s="3">
        <v>45286</v>
      </c>
      <c r="G26" s="4" t="s">
        <v>57</v>
      </c>
      <c r="H26" s="4" t="s">
        <v>7</v>
      </c>
      <c r="I26" s="4">
        <v>64</v>
      </c>
      <c r="J26" s="4" t="str" cm="1">
        <f t="array" ref="J26">_xlfn.IFS(I26&lt;30,"Young Adult", I26&lt;50,"Adult",I26 &gt;=50,"Seniors")</f>
        <v>Seniors</v>
      </c>
      <c r="K26" s="4" t="s">
        <v>2</v>
      </c>
      <c r="L26" s="4">
        <v>1</v>
      </c>
      <c r="M26" s="5">
        <v>50</v>
      </c>
      <c r="N26">
        <f>L26*M26</f>
        <v>50</v>
      </c>
      <c r="O26" s="15">
        <f>N26*$R$3</f>
        <v>0.75</v>
      </c>
    </row>
    <row r="27" spans="1:19">
      <c r="A27" s="2">
        <v>26</v>
      </c>
      <c r="B27" s="4">
        <f>YEAR(F27)</f>
        <v>2023</v>
      </c>
      <c r="C27" s="4">
        <f>MONTH(F27)</f>
        <v>10</v>
      </c>
      <c r="D27" s="4">
        <f>DAY(F27)</f>
        <v>7</v>
      </c>
      <c r="E27" s="4" t="str">
        <f t="shared" si="0"/>
        <v>Saturday</v>
      </c>
      <c r="F27" s="3">
        <v>45206</v>
      </c>
      <c r="G27" s="4" t="s">
        <v>58</v>
      </c>
      <c r="H27" s="4" t="s">
        <v>7</v>
      </c>
      <c r="I27" s="4">
        <v>28</v>
      </c>
      <c r="J27" s="4" t="str" cm="1">
        <f t="array" ref="J27">_xlfn.IFS(I27&lt;30,"Young Adult", I27&lt;50,"Adult",I27 &gt;=50,"Seniors")</f>
        <v>Young Adult</v>
      </c>
      <c r="K27" s="4" t="s">
        <v>4</v>
      </c>
      <c r="L27" s="4">
        <v>2</v>
      </c>
      <c r="M27" s="5">
        <v>500</v>
      </c>
      <c r="N27">
        <f>L27*M27</f>
        <v>1000</v>
      </c>
      <c r="O27" s="15">
        <f>N27*$R$3</f>
        <v>15</v>
      </c>
    </row>
    <row r="28" spans="1:19">
      <c r="A28" s="2">
        <v>27</v>
      </c>
      <c r="B28" s="4">
        <f>YEAR(F28)</f>
        <v>2023</v>
      </c>
      <c r="C28" s="4">
        <f>MONTH(F28)</f>
        <v>8</v>
      </c>
      <c r="D28" s="4">
        <f>DAY(F28)</f>
        <v>3</v>
      </c>
      <c r="E28" s="4" t="str">
        <f t="shared" si="0"/>
        <v>Thursday</v>
      </c>
      <c r="F28" s="3">
        <v>45141</v>
      </c>
      <c r="G28" s="4" t="s">
        <v>59</v>
      </c>
      <c r="H28" s="4" t="s">
        <v>7</v>
      </c>
      <c r="I28" s="4">
        <v>38</v>
      </c>
      <c r="J28" s="4" t="str" cm="1">
        <f t="array" ref="J28">_xlfn.IFS(I28&lt;30,"Young Adult", I28&lt;50,"Adult",I28 &gt;=50,"Seniors")</f>
        <v>Adult</v>
      </c>
      <c r="K28" s="4" t="s">
        <v>2</v>
      </c>
      <c r="L28" s="4">
        <v>2</v>
      </c>
      <c r="M28" s="5">
        <v>25</v>
      </c>
      <c r="N28">
        <f>L28*M28</f>
        <v>50</v>
      </c>
      <c r="O28" s="15">
        <f>N28*$R$3</f>
        <v>0.75</v>
      </c>
    </row>
    <row r="29" spans="1:19">
      <c r="A29" s="2">
        <v>28</v>
      </c>
      <c r="B29" s="4">
        <f>YEAR(F29)</f>
        <v>2023</v>
      </c>
      <c r="C29" s="4">
        <f>MONTH(F29)</f>
        <v>4</v>
      </c>
      <c r="D29" s="4">
        <f>DAY(F29)</f>
        <v>23</v>
      </c>
      <c r="E29" s="4" t="str">
        <f t="shared" si="0"/>
        <v>Sunday</v>
      </c>
      <c r="F29" s="3">
        <v>45039</v>
      </c>
      <c r="G29" s="4" t="s">
        <v>60</v>
      </c>
      <c r="H29" s="4" t="s">
        <v>7</v>
      </c>
      <c r="I29" s="4">
        <v>43</v>
      </c>
      <c r="J29" s="4" t="str" cm="1">
        <f t="array" ref="J29">_xlfn.IFS(I29&lt;30,"Young Adult", I29&lt;50,"Adult",I29 &gt;=50,"Seniors")</f>
        <v>Adult</v>
      </c>
      <c r="K29" s="4" t="s">
        <v>2</v>
      </c>
      <c r="L29" s="4">
        <v>1</v>
      </c>
      <c r="M29" s="5">
        <v>500</v>
      </c>
      <c r="N29">
        <f>L29*M29</f>
        <v>500</v>
      </c>
      <c r="O29" s="15">
        <f>N29*$R$3</f>
        <v>7.5</v>
      </c>
    </row>
    <row r="30" spans="1:19">
      <c r="A30" s="2">
        <v>29</v>
      </c>
      <c r="B30" s="4">
        <f>YEAR(F30)</f>
        <v>2023</v>
      </c>
      <c r="C30" s="4">
        <f>MONTH(F30)</f>
        <v>8</v>
      </c>
      <c r="D30" s="4">
        <f>DAY(F30)</f>
        <v>18</v>
      </c>
      <c r="E30" s="4" t="str">
        <f t="shared" si="0"/>
        <v>Friday</v>
      </c>
      <c r="F30" s="3">
        <v>45156</v>
      </c>
      <c r="G30" s="4" t="s">
        <v>61</v>
      </c>
      <c r="H30" s="4" t="s">
        <v>7</v>
      </c>
      <c r="I30" s="4">
        <v>42</v>
      </c>
      <c r="J30" s="4" t="str" cm="1">
        <f t="array" ref="J30">_xlfn.IFS(I30&lt;30,"Young Adult", I30&lt;50,"Adult",I30 &gt;=50,"Seniors")</f>
        <v>Adult</v>
      </c>
      <c r="K30" s="4" t="s">
        <v>4</v>
      </c>
      <c r="L30" s="4">
        <v>1</v>
      </c>
      <c r="M30" s="5">
        <v>30</v>
      </c>
      <c r="N30">
        <f>L30*M30</f>
        <v>30</v>
      </c>
      <c r="O30" s="15">
        <f>N30*$R$3</f>
        <v>0.44999999999999996</v>
      </c>
    </row>
    <row r="31" spans="1:19">
      <c r="A31" s="2">
        <v>30</v>
      </c>
      <c r="B31" s="4">
        <f>YEAR(F31)</f>
        <v>2023</v>
      </c>
      <c r="C31" s="4">
        <f>MONTH(F31)</f>
        <v>10</v>
      </c>
      <c r="D31" s="4">
        <f>DAY(F31)</f>
        <v>29</v>
      </c>
      <c r="E31" s="4" t="str">
        <f t="shared" si="0"/>
        <v>Sunday</v>
      </c>
      <c r="F31" s="3">
        <v>45228</v>
      </c>
      <c r="G31" s="4" t="s">
        <v>62</v>
      </c>
      <c r="H31" s="4" t="s">
        <v>7</v>
      </c>
      <c r="I31" s="4">
        <v>39</v>
      </c>
      <c r="J31" s="4" t="str" cm="1">
        <f t="array" ref="J31">_xlfn.IFS(I31&lt;30,"Young Adult", I31&lt;50,"Adult",I31 &gt;=50,"Seniors")</f>
        <v>Adult</v>
      </c>
      <c r="K31" s="4" t="s">
        <v>2</v>
      </c>
      <c r="L31" s="4">
        <v>3</v>
      </c>
      <c r="M31" s="5">
        <v>300</v>
      </c>
      <c r="N31">
        <f>L31*M31</f>
        <v>900</v>
      </c>
      <c r="O31" s="15">
        <f>N31*$R$3</f>
        <v>13.5</v>
      </c>
    </row>
    <row r="32" spans="1:19">
      <c r="A32" s="2">
        <v>31</v>
      </c>
      <c r="B32" s="4">
        <f>YEAR(F32)</f>
        <v>2023</v>
      </c>
      <c r="C32" s="4">
        <f>MONTH(F32)</f>
        <v>5</v>
      </c>
      <c r="D32" s="4">
        <f>DAY(F32)</f>
        <v>23</v>
      </c>
      <c r="E32" s="4" t="str">
        <f t="shared" si="0"/>
        <v>Tuesday</v>
      </c>
      <c r="F32" s="3">
        <v>45069</v>
      </c>
      <c r="G32" s="4" t="s">
        <v>63</v>
      </c>
      <c r="H32" s="4" t="s">
        <v>8</v>
      </c>
      <c r="I32" s="4">
        <v>44</v>
      </c>
      <c r="J32" s="4" t="str" cm="1">
        <f t="array" ref="J32">_xlfn.IFS(I32&lt;30,"Young Adult", I32&lt;50,"Adult",I32 &gt;=50,"Seniors")</f>
        <v>Adult</v>
      </c>
      <c r="K32" s="4" t="s">
        <v>4</v>
      </c>
      <c r="L32" s="4">
        <v>4</v>
      </c>
      <c r="M32" s="5">
        <v>300</v>
      </c>
      <c r="N32">
        <f>L32*M32</f>
        <v>1200</v>
      </c>
      <c r="O32" s="15">
        <f>N32*$R$3</f>
        <v>18</v>
      </c>
    </row>
    <row r="33" spans="1:15">
      <c r="A33" s="2">
        <v>32</v>
      </c>
      <c r="B33" s="4">
        <f>YEAR(F33)</f>
        <v>2023</v>
      </c>
      <c r="C33" s="4">
        <f>MONTH(F33)</f>
        <v>1</v>
      </c>
      <c r="D33" s="4">
        <f>DAY(F33)</f>
        <v>4</v>
      </c>
      <c r="E33" s="4" t="str">
        <f t="shared" si="0"/>
        <v>Wednesday</v>
      </c>
      <c r="F33" s="3">
        <v>44930</v>
      </c>
      <c r="G33" s="4" t="s">
        <v>64</v>
      </c>
      <c r="H33" s="4" t="s">
        <v>8</v>
      </c>
      <c r="I33" s="4">
        <v>30</v>
      </c>
      <c r="J33" s="4" t="str" cm="1">
        <f t="array" ref="J33">_xlfn.IFS(I33&lt;30,"Young Adult", I33&lt;50,"Adult",I33 &gt;=50,"Seniors")</f>
        <v>Adult</v>
      </c>
      <c r="K33" s="4" t="s">
        <v>2</v>
      </c>
      <c r="L33" s="4">
        <v>3</v>
      </c>
      <c r="M33" s="5">
        <v>30</v>
      </c>
      <c r="N33">
        <f>L33*M33</f>
        <v>90</v>
      </c>
      <c r="O33" s="15">
        <f>N33*$R$3</f>
        <v>1.3499999999999999</v>
      </c>
    </row>
    <row r="34" spans="1:15">
      <c r="A34" s="2">
        <v>33</v>
      </c>
      <c r="B34" s="4">
        <f>YEAR(F34)</f>
        <v>2023</v>
      </c>
      <c r="C34" s="4">
        <f>MONTH(F34)</f>
        <v>3</v>
      </c>
      <c r="D34" s="4">
        <f>DAY(F34)</f>
        <v>23</v>
      </c>
      <c r="E34" s="4" t="str">
        <f t="shared" si="0"/>
        <v>Thursday</v>
      </c>
      <c r="F34" s="3">
        <v>45008</v>
      </c>
      <c r="G34" s="4" t="s">
        <v>65</v>
      </c>
      <c r="H34" s="4" t="s">
        <v>7</v>
      </c>
      <c r="I34" s="4">
        <v>50</v>
      </c>
      <c r="J34" s="4" t="str" cm="1">
        <f t="array" ref="J34">_xlfn.IFS(I34&lt;30,"Young Adult", I34&lt;50,"Adult",I34 &gt;=50,"Seniors")</f>
        <v>Seniors</v>
      </c>
      <c r="K34" s="4" t="s">
        <v>4</v>
      </c>
      <c r="L34" s="4">
        <v>2</v>
      </c>
      <c r="M34" s="5">
        <v>50</v>
      </c>
      <c r="N34">
        <f>L34*M34</f>
        <v>100</v>
      </c>
      <c r="O34" s="15">
        <f>N34*$R$3</f>
        <v>1.5</v>
      </c>
    </row>
    <row r="35" spans="1:15">
      <c r="A35" s="2">
        <v>34</v>
      </c>
      <c r="B35" s="4">
        <f>YEAR(F35)</f>
        <v>2023</v>
      </c>
      <c r="C35" s="4">
        <f>MONTH(F35)</f>
        <v>12</v>
      </c>
      <c r="D35" s="4">
        <f>DAY(F35)</f>
        <v>24</v>
      </c>
      <c r="E35" s="4" t="str">
        <f t="shared" si="0"/>
        <v>Sunday</v>
      </c>
      <c r="F35" s="3">
        <v>45284</v>
      </c>
      <c r="G35" s="4" t="s">
        <v>66</v>
      </c>
      <c r="H35" s="4" t="s">
        <v>7</v>
      </c>
      <c r="I35" s="4">
        <v>51</v>
      </c>
      <c r="J35" s="4" t="str" cm="1">
        <f t="array" ref="J35">_xlfn.IFS(I35&lt;30,"Young Adult", I35&lt;50,"Adult",I35 &gt;=50,"Seniors")</f>
        <v>Seniors</v>
      </c>
      <c r="K35" s="4" t="s">
        <v>3</v>
      </c>
      <c r="L35" s="4">
        <v>3</v>
      </c>
      <c r="M35" s="5">
        <v>50</v>
      </c>
      <c r="N35">
        <f>L35*M35</f>
        <v>150</v>
      </c>
      <c r="O35" s="15">
        <f>N35*$R$3</f>
        <v>2.25</v>
      </c>
    </row>
    <row r="36" spans="1:15">
      <c r="A36" s="2">
        <v>35</v>
      </c>
      <c r="B36" s="4">
        <f>YEAR(F36)</f>
        <v>2023</v>
      </c>
      <c r="C36" s="4">
        <f>MONTH(F36)</f>
        <v>8</v>
      </c>
      <c r="D36" s="4">
        <f>DAY(F36)</f>
        <v>5</v>
      </c>
      <c r="E36" s="4" t="str">
        <f t="shared" si="0"/>
        <v>Saturday</v>
      </c>
      <c r="F36" s="3">
        <v>45143</v>
      </c>
      <c r="G36" s="4" t="s">
        <v>67</v>
      </c>
      <c r="H36" s="4" t="s">
        <v>7</v>
      </c>
      <c r="I36" s="4">
        <v>58</v>
      </c>
      <c r="J36" s="4" t="str" cm="1">
        <f t="array" ref="J36">_xlfn.IFS(I36&lt;30,"Young Adult", I36&lt;50,"Adult",I36 &gt;=50,"Seniors")</f>
        <v>Seniors</v>
      </c>
      <c r="K36" s="4" t="s">
        <v>2</v>
      </c>
      <c r="L36" s="4">
        <v>3</v>
      </c>
      <c r="M36" s="5">
        <v>300</v>
      </c>
      <c r="N36">
        <f>L36*M36</f>
        <v>900</v>
      </c>
      <c r="O36" s="15">
        <f>N36*$R$3</f>
        <v>13.5</v>
      </c>
    </row>
    <row r="37" spans="1:15">
      <c r="A37" s="2">
        <v>36</v>
      </c>
      <c r="B37" s="4">
        <f>YEAR(F37)</f>
        <v>2023</v>
      </c>
      <c r="C37" s="4">
        <f>MONTH(F37)</f>
        <v>6</v>
      </c>
      <c r="D37" s="4">
        <f>DAY(F37)</f>
        <v>24</v>
      </c>
      <c r="E37" s="4" t="str">
        <f t="shared" si="0"/>
        <v>Saturday</v>
      </c>
      <c r="F37" s="3">
        <v>45101</v>
      </c>
      <c r="G37" s="4" t="s">
        <v>68</v>
      </c>
      <c r="H37" s="4" t="s">
        <v>8</v>
      </c>
      <c r="I37" s="4">
        <v>52</v>
      </c>
      <c r="J37" s="4" t="str" cm="1">
        <f t="array" ref="J37">_xlfn.IFS(I37&lt;30,"Young Adult", I37&lt;50,"Adult",I37 &gt;=50,"Seniors")</f>
        <v>Seniors</v>
      </c>
      <c r="K37" s="4" t="s">
        <v>2</v>
      </c>
      <c r="L37" s="4">
        <v>3</v>
      </c>
      <c r="M37" s="5">
        <v>300</v>
      </c>
      <c r="N37">
        <f>L37*M37</f>
        <v>900</v>
      </c>
      <c r="O37" s="15">
        <f>N37*$R$3</f>
        <v>13.5</v>
      </c>
    </row>
    <row r="38" spans="1:15">
      <c r="A38" s="2">
        <v>37</v>
      </c>
      <c r="B38" s="4">
        <f>YEAR(F38)</f>
        <v>2023</v>
      </c>
      <c r="C38" s="4">
        <f>MONTH(F38)</f>
        <v>5</v>
      </c>
      <c r="D38" s="4">
        <f>DAY(F38)</f>
        <v>23</v>
      </c>
      <c r="E38" s="4" t="str">
        <f t="shared" si="0"/>
        <v>Tuesday</v>
      </c>
      <c r="F38" s="3">
        <v>45069</v>
      </c>
      <c r="G38" s="4" t="s">
        <v>69</v>
      </c>
      <c r="H38" s="4" t="s">
        <v>7</v>
      </c>
      <c r="I38" s="4">
        <v>18</v>
      </c>
      <c r="J38" s="4" t="str" cm="1">
        <f t="array" ref="J38">_xlfn.IFS(I38&lt;30,"Young Adult", I38&lt;50,"Adult",I38 &gt;=50,"Seniors")</f>
        <v>Young Adult</v>
      </c>
      <c r="K38" s="4" t="s">
        <v>2</v>
      </c>
      <c r="L38" s="4">
        <v>3</v>
      </c>
      <c r="M38" s="5">
        <v>25</v>
      </c>
      <c r="N38">
        <f>L38*M38</f>
        <v>75</v>
      </c>
      <c r="O38" s="15">
        <f>N38*$R$3</f>
        <v>1.125</v>
      </c>
    </row>
    <row r="39" spans="1:15">
      <c r="A39" s="2">
        <v>38</v>
      </c>
      <c r="B39" s="4">
        <f>YEAR(F39)</f>
        <v>2023</v>
      </c>
      <c r="C39" s="4">
        <f>MONTH(F39)</f>
        <v>3</v>
      </c>
      <c r="D39" s="4">
        <f>DAY(F39)</f>
        <v>21</v>
      </c>
      <c r="E39" s="4" t="str">
        <f t="shared" si="0"/>
        <v>Tuesday</v>
      </c>
      <c r="F39" s="3">
        <v>45006</v>
      </c>
      <c r="G39" s="4" t="s">
        <v>70</v>
      </c>
      <c r="H39" s="4" t="s">
        <v>8</v>
      </c>
      <c r="I39" s="4">
        <v>38</v>
      </c>
      <c r="J39" s="4" t="str" cm="1">
        <f t="array" ref="J39">_xlfn.IFS(I39&lt;30,"Young Adult", I39&lt;50,"Adult",I39 &gt;=50,"Seniors")</f>
        <v>Adult</v>
      </c>
      <c r="K39" s="4" t="s">
        <v>2</v>
      </c>
      <c r="L39" s="4">
        <v>4</v>
      </c>
      <c r="M39" s="5">
        <v>50</v>
      </c>
      <c r="N39">
        <f>L39*M39</f>
        <v>200</v>
      </c>
      <c r="O39" s="15">
        <f>N39*$R$3</f>
        <v>3</v>
      </c>
    </row>
    <row r="40" spans="1:15">
      <c r="A40" s="2">
        <v>39</v>
      </c>
      <c r="B40" s="4">
        <f>YEAR(F40)</f>
        <v>2023</v>
      </c>
      <c r="C40" s="4">
        <f>MONTH(F40)</f>
        <v>4</v>
      </c>
      <c r="D40" s="4">
        <f>DAY(F40)</f>
        <v>21</v>
      </c>
      <c r="E40" s="4" t="str">
        <f t="shared" si="0"/>
        <v>Friday</v>
      </c>
      <c r="F40" s="3">
        <v>45037</v>
      </c>
      <c r="G40" s="4" t="s">
        <v>71</v>
      </c>
      <c r="H40" s="4" t="s">
        <v>8</v>
      </c>
      <c r="I40" s="4">
        <v>23</v>
      </c>
      <c r="J40" s="4" t="str" cm="1">
        <f t="array" ref="J40">_xlfn.IFS(I40&lt;30,"Young Adult", I40&lt;50,"Adult",I40 &gt;=50,"Seniors")</f>
        <v>Young Adult</v>
      </c>
      <c r="K40" s="4" t="s">
        <v>3</v>
      </c>
      <c r="L40" s="4">
        <v>4</v>
      </c>
      <c r="M40" s="5">
        <v>30</v>
      </c>
      <c r="N40">
        <f>L40*M40</f>
        <v>120</v>
      </c>
      <c r="O40" s="15">
        <f>N40*$R$3</f>
        <v>1.7999999999999998</v>
      </c>
    </row>
    <row r="41" spans="1:15">
      <c r="A41" s="2">
        <v>40</v>
      </c>
      <c r="B41" s="4">
        <f>YEAR(F41)</f>
        <v>2023</v>
      </c>
      <c r="C41" s="4">
        <f>MONTH(F41)</f>
        <v>6</v>
      </c>
      <c r="D41" s="4">
        <f>DAY(F41)</f>
        <v>22</v>
      </c>
      <c r="E41" s="4" t="str">
        <f t="shared" si="0"/>
        <v>Thursday</v>
      </c>
      <c r="F41" s="3">
        <v>45099</v>
      </c>
      <c r="G41" s="4" t="s">
        <v>72</v>
      </c>
      <c r="H41" s="4" t="s">
        <v>8</v>
      </c>
      <c r="I41" s="4">
        <v>45</v>
      </c>
      <c r="J41" s="4" t="str" cm="1">
        <f t="array" ref="J41">_xlfn.IFS(I41&lt;30,"Young Adult", I41&lt;50,"Adult",I41 &gt;=50,"Seniors")</f>
        <v>Adult</v>
      </c>
      <c r="K41" s="4" t="s">
        <v>2</v>
      </c>
      <c r="L41" s="4">
        <v>1</v>
      </c>
      <c r="M41" s="5">
        <v>50</v>
      </c>
      <c r="N41">
        <f>L41*M41</f>
        <v>50</v>
      </c>
      <c r="O41" s="15">
        <f>N41*$R$3</f>
        <v>0.75</v>
      </c>
    </row>
    <row r="42" spans="1:15">
      <c r="A42" s="2">
        <v>41</v>
      </c>
      <c r="B42" s="4">
        <f>YEAR(F42)</f>
        <v>2023</v>
      </c>
      <c r="C42" s="4">
        <f>MONTH(F42)</f>
        <v>2</v>
      </c>
      <c r="D42" s="4">
        <f>DAY(F42)</f>
        <v>22</v>
      </c>
      <c r="E42" s="4" t="str">
        <f t="shared" si="0"/>
        <v>Wednesday</v>
      </c>
      <c r="F42" s="3">
        <v>44979</v>
      </c>
      <c r="G42" s="4" t="s">
        <v>73</v>
      </c>
      <c r="H42" s="4" t="s">
        <v>8</v>
      </c>
      <c r="I42" s="4">
        <v>34</v>
      </c>
      <c r="J42" s="4" t="str" cm="1">
        <f t="array" ref="J42">_xlfn.IFS(I42&lt;30,"Young Adult", I42&lt;50,"Adult",I42 &gt;=50,"Seniors")</f>
        <v>Adult</v>
      </c>
      <c r="K42" s="4" t="s">
        <v>3</v>
      </c>
      <c r="L42" s="4">
        <v>2</v>
      </c>
      <c r="M42" s="5">
        <v>25</v>
      </c>
      <c r="N42">
        <f>L42*M42</f>
        <v>50</v>
      </c>
      <c r="O42" s="15">
        <f>N42*$R$3</f>
        <v>0.75</v>
      </c>
    </row>
    <row r="43" spans="1:15">
      <c r="A43" s="2">
        <v>42</v>
      </c>
      <c r="B43" s="4">
        <f>YEAR(F43)</f>
        <v>2023</v>
      </c>
      <c r="C43" s="4">
        <f>MONTH(F43)</f>
        <v>2</v>
      </c>
      <c r="D43" s="4">
        <f>DAY(F43)</f>
        <v>17</v>
      </c>
      <c r="E43" s="4" t="str">
        <f t="shared" si="0"/>
        <v>Friday</v>
      </c>
      <c r="F43" s="3">
        <v>44974</v>
      </c>
      <c r="G43" s="4" t="s">
        <v>74</v>
      </c>
      <c r="H43" s="4" t="s">
        <v>8</v>
      </c>
      <c r="I43" s="4">
        <v>22</v>
      </c>
      <c r="J43" s="4" t="str" cm="1">
        <f t="array" ref="J43">_xlfn.IFS(I43&lt;30,"Young Adult", I43&lt;50,"Adult",I43 &gt;=50,"Seniors")</f>
        <v>Young Adult</v>
      </c>
      <c r="K43" s="4" t="s">
        <v>3</v>
      </c>
      <c r="L43" s="4">
        <v>3</v>
      </c>
      <c r="M43" s="5">
        <v>300</v>
      </c>
      <c r="N43">
        <f>L43*M43</f>
        <v>900</v>
      </c>
      <c r="O43" s="15">
        <f>N43*$R$3</f>
        <v>13.5</v>
      </c>
    </row>
    <row r="44" spans="1:15">
      <c r="A44" s="2">
        <v>43</v>
      </c>
      <c r="B44" s="4">
        <f>YEAR(F44)</f>
        <v>2023</v>
      </c>
      <c r="C44" s="4">
        <f>MONTH(F44)</f>
        <v>7</v>
      </c>
      <c r="D44" s="4">
        <f>DAY(F44)</f>
        <v>14</v>
      </c>
      <c r="E44" s="4" t="str">
        <f t="shared" si="0"/>
        <v>Friday</v>
      </c>
      <c r="F44" s="3">
        <v>45121</v>
      </c>
      <c r="G44" s="4" t="s">
        <v>75</v>
      </c>
      <c r="H44" s="4" t="s">
        <v>7</v>
      </c>
      <c r="I44" s="4">
        <v>48</v>
      </c>
      <c r="J44" s="4" t="str" cm="1">
        <f t="array" ref="J44">_xlfn.IFS(I44&lt;30,"Young Adult", I44&lt;50,"Adult",I44 &gt;=50,"Seniors")</f>
        <v>Adult</v>
      </c>
      <c r="K44" s="4" t="s">
        <v>3</v>
      </c>
      <c r="L44" s="4">
        <v>1</v>
      </c>
      <c r="M44" s="5">
        <v>300</v>
      </c>
      <c r="N44">
        <f>L44*M44</f>
        <v>300</v>
      </c>
      <c r="O44" s="15">
        <f>N44*$R$3</f>
        <v>4.5</v>
      </c>
    </row>
    <row r="45" spans="1:15">
      <c r="A45" s="2">
        <v>44</v>
      </c>
      <c r="B45" s="4">
        <f>YEAR(F45)</f>
        <v>2023</v>
      </c>
      <c r="C45" s="4">
        <f>MONTH(F45)</f>
        <v>2</v>
      </c>
      <c r="D45" s="4">
        <f>DAY(F45)</f>
        <v>19</v>
      </c>
      <c r="E45" s="4" t="str">
        <f t="shared" si="0"/>
        <v>Sunday</v>
      </c>
      <c r="F45" s="3">
        <v>44976</v>
      </c>
      <c r="G45" s="4" t="s">
        <v>76</v>
      </c>
      <c r="H45" s="4" t="s">
        <v>7</v>
      </c>
      <c r="I45" s="4">
        <v>22</v>
      </c>
      <c r="J45" s="4" t="str" cm="1">
        <f t="array" ref="J45">_xlfn.IFS(I45&lt;30,"Young Adult", I45&lt;50,"Adult",I45 &gt;=50,"Seniors")</f>
        <v>Young Adult</v>
      </c>
      <c r="K45" s="4" t="s">
        <v>3</v>
      </c>
      <c r="L45" s="4">
        <v>1</v>
      </c>
      <c r="M45" s="5">
        <v>25</v>
      </c>
      <c r="N45">
        <f>L45*M45</f>
        <v>25</v>
      </c>
      <c r="O45" s="15">
        <f>N45*$R$3</f>
        <v>0.375</v>
      </c>
    </row>
    <row r="46" spans="1:15">
      <c r="A46" s="2">
        <v>45</v>
      </c>
      <c r="B46" s="4">
        <f>YEAR(F46)</f>
        <v>2023</v>
      </c>
      <c r="C46" s="4">
        <f>MONTH(F46)</f>
        <v>7</v>
      </c>
      <c r="D46" s="4">
        <f>DAY(F46)</f>
        <v>3</v>
      </c>
      <c r="E46" s="4" t="str">
        <f t="shared" si="0"/>
        <v>Monday</v>
      </c>
      <c r="F46" s="3">
        <v>45110</v>
      </c>
      <c r="G46" s="4" t="s">
        <v>77</v>
      </c>
      <c r="H46" s="4" t="s">
        <v>7</v>
      </c>
      <c r="I46" s="4">
        <v>55</v>
      </c>
      <c r="J46" s="4" t="str" cm="1">
        <f t="array" ref="J46">_xlfn.IFS(I46&lt;30,"Young Adult", I46&lt;50,"Adult",I46 &gt;=50,"Seniors")</f>
        <v>Seniors</v>
      </c>
      <c r="K46" s="4" t="s">
        <v>4</v>
      </c>
      <c r="L46" s="4">
        <v>1</v>
      </c>
      <c r="M46" s="5">
        <v>30</v>
      </c>
      <c r="N46">
        <f>L46*M46</f>
        <v>30</v>
      </c>
      <c r="O46" s="15">
        <f>N46*$R$3</f>
        <v>0.44999999999999996</v>
      </c>
    </row>
    <row r="47" spans="1:15">
      <c r="A47" s="2">
        <v>46</v>
      </c>
      <c r="B47" s="4">
        <f>YEAR(F47)</f>
        <v>2023</v>
      </c>
      <c r="C47" s="4">
        <f>MONTH(F47)</f>
        <v>6</v>
      </c>
      <c r="D47" s="4">
        <f>DAY(F47)</f>
        <v>26</v>
      </c>
      <c r="E47" s="4" t="str">
        <f t="shared" si="0"/>
        <v>Monday</v>
      </c>
      <c r="F47" s="3">
        <v>45103</v>
      </c>
      <c r="G47" s="4" t="s">
        <v>78</v>
      </c>
      <c r="H47" s="4" t="s">
        <v>7</v>
      </c>
      <c r="I47" s="4">
        <v>20</v>
      </c>
      <c r="J47" s="4" t="str" cm="1">
        <f t="array" ref="J47">_xlfn.IFS(I47&lt;30,"Young Adult", I47&lt;50,"Adult",I47 &gt;=50,"Seniors")</f>
        <v>Young Adult</v>
      </c>
      <c r="K47" s="4" t="s">
        <v>4</v>
      </c>
      <c r="L47" s="4">
        <v>4</v>
      </c>
      <c r="M47" s="5">
        <v>300</v>
      </c>
      <c r="N47">
        <f>L47*M47</f>
        <v>1200</v>
      </c>
      <c r="O47" s="15">
        <f>N47*$R$3</f>
        <v>18</v>
      </c>
    </row>
    <row r="48" spans="1:15">
      <c r="A48" s="2">
        <v>47</v>
      </c>
      <c r="B48" s="4">
        <f>YEAR(F48)</f>
        <v>2023</v>
      </c>
      <c r="C48" s="4">
        <f>MONTH(F48)</f>
        <v>11</v>
      </c>
      <c r="D48" s="4">
        <f>DAY(F48)</f>
        <v>6</v>
      </c>
      <c r="E48" s="4" t="str">
        <f t="shared" si="0"/>
        <v>Monday</v>
      </c>
      <c r="F48" s="3">
        <v>45236</v>
      </c>
      <c r="G48" s="4" t="s">
        <v>79</v>
      </c>
      <c r="H48" s="4" t="s">
        <v>7</v>
      </c>
      <c r="I48" s="4">
        <v>40</v>
      </c>
      <c r="J48" s="4" t="str" cm="1">
        <f t="array" ref="J48">_xlfn.IFS(I48&lt;30,"Young Adult", I48&lt;50,"Adult",I48 &gt;=50,"Seniors")</f>
        <v>Adult</v>
      </c>
      <c r="K48" s="4" t="s">
        <v>2</v>
      </c>
      <c r="L48" s="4">
        <v>3</v>
      </c>
      <c r="M48" s="5">
        <v>500</v>
      </c>
      <c r="N48">
        <f>L48*M48</f>
        <v>1500</v>
      </c>
      <c r="O48" s="15">
        <f>N48*$R$3</f>
        <v>22.5</v>
      </c>
    </row>
    <row r="49" spans="1:15">
      <c r="A49" s="2">
        <v>48</v>
      </c>
      <c r="B49" s="4">
        <f>YEAR(F49)</f>
        <v>2023</v>
      </c>
      <c r="C49" s="4">
        <f>MONTH(F49)</f>
        <v>5</v>
      </c>
      <c r="D49" s="4">
        <f>DAY(F49)</f>
        <v>16</v>
      </c>
      <c r="E49" s="4" t="str">
        <f t="shared" si="0"/>
        <v>Tuesday</v>
      </c>
      <c r="F49" s="3">
        <v>45062</v>
      </c>
      <c r="G49" s="4" t="s">
        <v>80</v>
      </c>
      <c r="H49" s="4" t="s">
        <v>8</v>
      </c>
      <c r="I49" s="4">
        <v>54</v>
      </c>
      <c r="J49" s="4" t="str" cm="1">
        <f t="array" ref="J49">_xlfn.IFS(I49&lt;30,"Young Adult", I49&lt;50,"Adult",I49 &gt;=50,"Seniors")</f>
        <v>Seniors</v>
      </c>
      <c r="K49" s="4" t="s">
        <v>4</v>
      </c>
      <c r="L49" s="4">
        <v>3</v>
      </c>
      <c r="M49" s="5">
        <v>300</v>
      </c>
      <c r="N49">
        <f>L49*M49</f>
        <v>900</v>
      </c>
      <c r="O49" s="15">
        <f>N49*$R$3</f>
        <v>13.5</v>
      </c>
    </row>
    <row r="50" spans="1:15">
      <c r="A50" s="2">
        <v>49</v>
      </c>
      <c r="B50" s="4">
        <f>YEAR(F50)</f>
        <v>2023</v>
      </c>
      <c r="C50" s="4">
        <f>MONTH(F50)</f>
        <v>1</v>
      </c>
      <c r="D50" s="4">
        <f>DAY(F50)</f>
        <v>23</v>
      </c>
      <c r="E50" s="4" t="str">
        <f t="shared" si="0"/>
        <v>Monday</v>
      </c>
      <c r="F50" s="3">
        <v>44949</v>
      </c>
      <c r="G50" s="4" t="s">
        <v>81</v>
      </c>
      <c r="H50" s="4" t="s">
        <v>7</v>
      </c>
      <c r="I50" s="4">
        <v>54</v>
      </c>
      <c r="J50" s="4" t="str" cm="1">
        <f t="array" ref="J50">_xlfn.IFS(I50&lt;30,"Young Adult", I50&lt;50,"Adult",I50 &gt;=50,"Seniors")</f>
        <v>Seniors</v>
      </c>
      <c r="K50" s="4" t="s">
        <v>4</v>
      </c>
      <c r="L50" s="4">
        <v>2</v>
      </c>
      <c r="M50" s="5">
        <v>500</v>
      </c>
      <c r="N50">
        <f>L50*M50</f>
        <v>1000</v>
      </c>
      <c r="O50" s="15">
        <f>N50*$R$3</f>
        <v>15</v>
      </c>
    </row>
    <row r="51" spans="1:15">
      <c r="A51" s="2">
        <v>50</v>
      </c>
      <c r="B51" s="4">
        <f>YEAR(F51)</f>
        <v>2023</v>
      </c>
      <c r="C51" s="4">
        <f>MONTH(F51)</f>
        <v>8</v>
      </c>
      <c r="D51" s="4">
        <f>DAY(F51)</f>
        <v>24</v>
      </c>
      <c r="E51" s="4" t="str">
        <f t="shared" si="0"/>
        <v>Thursday</v>
      </c>
      <c r="F51" s="3">
        <v>45162</v>
      </c>
      <c r="G51" s="4" t="s">
        <v>82</v>
      </c>
      <c r="H51" s="4" t="s">
        <v>7</v>
      </c>
      <c r="I51" s="4">
        <v>27</v>
      </c>
      <c r="J51" s="4" t="str" cm="1">
        <f t="array" ref="J51">_xlfn.IFS(I51&lt;30,"Young Adult", I51&lt;50,"Adult",I51 &gt;=50,"Seniors")</f>
        <v>Young Adult</v>
      </c>
      <c r="K51" s="4" t="s">
        <v>2</v>
      </c>
      <c r="L51" s="4">
        <v>3</v>
      </c>
      <c r="M51" s="5">
        <v>25</v>
      </c>
      <c r="N51">
        <f>L51*M51</f>
        <v>75</v>
      </c>
      <c r="O51" s="15">
        <f>N51*$R$3</f>
        <v>1.125</v>
      </c>
    </row>
    <row r="52" spans="1:15">
      <c r="A52" s="2">
        <v>51</v>
      </c>
      <c r="B52" s="4">
        <f>YEAR(F52)</f>
        <v>2023</v>
      </c>
      <c r="C52" s="4">
        <f>MONTH(F52)</f>
        <v>10</v>
      </c>
      <c r="D52" s="4">
        <f>DAY(F52)</f>
        <v>2</v>
      </c>
      <c r="E52" s="4" t="str">
        <f t="shared" si="0"/>
        <v>Monday</v>
      </c>
      <c r="F52" s="3">
        <v>45201</v>
      </c>
      <c r="G52" s="4" t="s">
        <v>83</v>
      </c>
      <c r="H52" s="4" t="s">
        <v>8</v>
      </c>
      <c r="I52" s="4">
        <v>27</v>
      </c>
      <c r="J52" s="4" t="str" cm="1">
        <f t="array" ref="J52">_xlfn.IFS(I52&lt;30,"Young Adult", I52&lt;50,"Adult",I52 &gt;=50,"Seniors")</f>
        <v>Young Adult</v>
      </c>
      <c r="K52" s="4" t="s">
        <v>2</v>
      </c>
      <c r="L52" s="4">
        <v>3</v>
      </c>
      <c r="M52" s="5">
        <v>25</v>
      </c>
      <c r="N52">
        <f>L52*M52</f>
        <v>75</v>
      </c>
      <c r="O52" s="15">
        <f>N52*$R$3</f>
        <v>1.125</v>
      </c>
    </row>
    <row r="53" spans="1:15">
      <c r="A53" s="2">
        <v>52</v>
      </c>
      <c r="B53" s="4">
        <f>YEAR(F53)</f>
        <v>2023</v>
      </c>
      <c r="C53" s="4">
        <f>MONTH(F53)</f>
        <v>3</v>
      </c>
      <c r="D53" s="4">
        <f>DAY(F53)</f>
        <v>5</v>
      </c>
      <c r="E53" s="4" t="str">
        <f t="shared" si="0"/>
        <v>Sunday</v>
      </c>
      <c r="F53" s="3">
        <v>44990</v>
      </c>
      <c r="G53" s="4" t="s">
        <v>84</v>
      </c>
      <c r="H53" s="4" t="s">
        <v>7</v>
      </c>
      <c r="I53" s="4">
        <v>36</v>
      </c>
      <c r="J53" s="4" t="str" cm="1">
        <f t="array" ref="J53">_xlfn.IFS(I53&lt;30,"Young Adult", I53&lt;50,"Adult",I53 &gt;=50,"Seniors")</f>
        <v>Adult</v>
      </c>
      <c r="K53" s="4" t="s">
        <v>2</v>
      </c>
      <c r="L53" s="4">
        <v>1</v>
      </c>
      <c r="M53" s="5">
        <v>300</v>
      </c>
      <c r="N53">
        <f>L53*M53</f>
        <v>300</v>
      </c>
      <c r="O53" s="15">
        <f>N53*$R$3</f>
        <v>4.5</v>
      </c>
    </row>
    <row r="54" spans="1:15">
      <c r="A54" s="2">
        <v>53</v>
      </c>
      <c r="B54" s="4">
        <f>YEAR(F54)</f>
        <v>2023</v>
      </c>
      <c r="C54" s="4">
        <f>MONTH(F54)</f>
        <v>7</v>
      </c>
      <c r="D54" s="4">
        <f>DAY(F54)</f>
        <v>13</v>
      </c>
      <c r="E54" s="4" t="str">
        <f t="shared" si="0"/>
        <v>Thursday</v>
      </c>
      <c r="F54" s="3">
        <v>45120</v>
      </c>
      <c r="G54" s="4" t="s">
        <v>85</v>
      </c>
      <c r="H54" s="4" t="s">
        <v>8</v>
      </c>
      <c r="I54" s="4">
        <v>34</v>
      </c>
      <c r="J54" s="4" t="str" cm="1">
        <f t="array" ref="J54">_xlfn.IFS(I54&lt;30,"Young Adult", I54&lt;50,"Adult",I54 &gt;=50,"Seniors")</f>
        <v>Adult</v>
      </c>
      <c r="K54" s="4" t="s">
        <v>4</v>
      </c>
      <c r="L54" s="4">
        <v>2</v>
      </c>
      <c r="M54" s="5">
        <v>50</v>
      </c>
      <c r="N54">
        <f>L54*M54</f>
        <v>100</v>
      </c>
      <c r="O54" s="15">
        <f>N54*$R$3</f>
        <v>1.5</v>
      </c>
    </row>
    <row r="55" spans="1:15">
      <c r="A55" s="2">
        <v>54</v>
      </c>
      <c r="B55" s="4">
        <f>YEAR(F55)</f>
        <v>2023</v>
      </c>
      <c r="C55" s="4">
        <f>MONTH(F55)</f>
        <v>2</v>
      </c>
      <c r="D55" s="4">
        <f>DAY(F55)</f>
        <v>10</v>
      </c>
      <c r="E55" s="4" t="str">
        <f t="shared" si="0"/>
        <v>Friday</v>
      </c>
      <c r="F55" s="3">
        <v>44967</v>
      </c>
      <c r="G55" s="4" t="s">
        <v>86</v>
      </c>
      <c r="H55" s="4" t="s">
        <v>7</v>
      </c>
      <c r="I55" s="4">
        <v>38</v>
      </c>
      <c r="J55" s="4" t="str" cm="1">
        <f t="array" ref="J55">_xlfn.IFS(I55&lt;30,"Young Adult", I55&lt;50,"Adult",I55 &gt;=50,"Seniors")</f>
        <v>Adult</v>
      </c>
      <c r="K55" s="4" t="s">
        <v>4</v>
      </c>
      <c r="L55" s="4">
        <v>3</v>
      </c>
      <c r="M55" s="5">
        <v>500</v>
      </c>
      <c r="N55">
        <f>L55*M55</f>
        <v>1500</v>
      </c>
      <c r="O55" s="15">
        <f>N55*$R$3</f>
        <v>22.5</v>
      </c>
    </row>
    <row r="56" spans="1:15">
      <c r="A56" s="2">
        <v>55</v>
      </c>
      <c r="B56" s="4">
        <f>YEAR(F56)</f>
        <v>2023</v>
      </c>
      <c r="C56" s="4">
        <f>MONTH(F56)</f>
        <v>10</v>
      </c>
      <c r="D56" s="4">
        <f>DAY(F56)</f>
        <v>10</v>
      </c>
      <c r="E56" s="4" t="str">
        <f t="shared" si="0"/>
        <v>Tuesday</v>
      </c>
      <c r="F56" s="3">
        <v>45209</v>
      </c>
      <c r="G56" s="4" t="s">
        <v>87</v>
      </c>
      <c r="H56" s="4" t="s">
        <v>8</v>
      </c>
      <c r="I56" s="4">
        <v>31</v>
      </c>
      <c r="J56" s="4" t="str" cm="1">
        <f t="array" ref="J56">_xlfn.IFS(I56&lt;30,"Young Adult", I56&lt;50,"Adult",I56 &gt;=50,"Seniors")</f>
        <v>Adult</v>
      </c>
      <c r="K56" s="4" t="s">
        <v>2</v>
      </c>
      <c r="L56" s="4">
        <v>4</v>
      </c>
      <c r="M56" s="5">
        <v>30</v>
      </c>
      <c r="N56">
        <f>L56*M56</f>
        <v>120</v>
      </c>
      <c r="O56" s="15">
        <f>N56*$R$3</f>
        <v>1.7999999999999998</v>
      </c>
    </row>
    <row r="57" spans="1:15">
      <c r="A57" s="2">
        <v>56</v>
      </c>
      <c r="B57" s="4">
        <f>YEAR(F57)</f>
        <v>2023</v>
      </c>
      <c r="C57" s="4">
        <f>MONTH(F57)</f>
        <v>5</v>
      </c>
      <c r="D57" s="4">
        <f>DAY(F57)</f>
        <v>31</v>
      </c>
      <c r="E57" s="4" t="str">
        <f t="shared" si="0"/>
        <v>Wednesday</v>
      </c>
      <c r="F57" s="3">
        <v>45077</v>
      </c>
      <c r="G57" s="4" t="s">
        <v>88</v>
      </c>
      <c r="H57" s="4" t="s">
        <v>7</v>
      </c>
      <c r="I57" s="4">
        <v>26</v>
      </c>
      <c r="J57" s="4" t="str" cm="1">
        <f t="array" ref="J57">_xlfn.IFS(I57&lt;30,"Young Adult", I57&lt;50,"Adult",I57 &gt;=50,"Seniors")</f>
        <v>Young Adult</v>
      </c>
      <c r="K57" s="4" t="s">
        <v>3</v>
      </c>
      <c r="L57" s="4">
        <v>3</v>
      </c>
      <c r="M57" s="5">
        <v>300</v>
      </c>
      <c r="N57">
        <f>L57*M57</f>
        <v>900</v>
      </c>
      <c r="O57" s="15">
        <f>N57*$R$3</f>
        <v>13.5</v>
      </c>
    </row>
    <row r="58" spans="1:15">
      <c r="A58" s="2">
        <v>57</v>
      </c>
      <c r="B58" s="4">
        <f>YEAR(F58)</f>
        <v>2023</v>
      </c>
      <c r="C58" s="4">
        <f>MONTH(F58)</f>
        <v>11</v>
      </c>
      <c r="D58" s="4">
        <f>DAY(F58)</f>
        <v>18</v>
      </c>
      <c r="E58" s="4" t="str">
        <f t="shared" si="0"/>
        <v>Saturday</v>
      </c>
      <c r="F58" s="3">
        <v>45248</v>
      </c>
      <c r="G58" s="4" t="s">
        <v>89</v>
      </c>
      <c r="H58" s="4" t="s">
        <v>7</v>
      </c>
      <c r="I58" s="4">
        <v>63</v>
      </c>
      <c r="J58" s="4" t="str" cm="1">
        <f t="array" ref="J58">_xlfn.IFS(I58&lt;30,"Young Adult", I58&lt;50,"Adult",I58 &gt;=50,"Seniors")</f>
        <v>Seniors</v>
      </c>
      <c r="K58" s="4" t="s">
        <v>2</v>
      </c>
      <c r="L58" s="4">
        <v>1</v>
      </c>
      <c r="M58" s="5">
        <v>30</v>
      </c>
      <c r="N58">
        <f>L58*M58</f>
        <v>30</v>
      </c>
      <c r="O58" s="15">
        <f>N58*$R$3</f>
        <v>0.44999999999999996</v>
      </c>
    </row>
    <row r="59" spans="1:15">
      <c r="A59" s="2">
        <v>58</v>
      </c>
      <c r="B59" s="4">
        <f>YEAR(F59)</f>
        <v>2023</v>
      </c>
      <c r="C59" s="4">
        <f>MONTH(F59)</f>
        <v>11</v>
      </c>
      <c r="D59" s="4">
        <f>DAY(F59)</f>
        <v>13</v>
      </c>
      <c r="E59" s="4" t="str">
        <f t="shared" si="0"/>
        <v>Monday</v>
      </c>
      <c r="F59" s="3">
        <v>45243</v>
      </c>
      <c r="G59" s="4" t="s">
        <v>90</v>
      </c>
      <c r="H59" s="4" t="s">
        <v>8</v>
      </c>
      <c r="I59" s="4">
        <v>18</v>
      </c>
      <c r="J59" s="4" t="str" cm="1">
        <f t="array" ref="J59">_xlfn.IFS(I59&lt;30,"Young Adult", I59&lt;50,"Adult",I59 &gt;=50,"Seniors")</f>
        <v>Young Adult</v>
      </c>
      <c r="K59" s="4" t="s">
        <v>3</v>
      </c>
      <c r="L59" s="4">
        <v>4</v>
      </c>
      <c r="M59" s="5">
        <v>300</v>
      </c>
      <c r="N59">
        <f>L59*M59</f>
        <v>1200</v>
      </c>
      <c r="O59" s="15">
        <f>N59*$R$3</f>
        <v>18</v>
      </c>
    </row>
    <row r="60" spans="1:15">
      <c r="A60" s="2">
        <v>59</v>
      </c>
      <c r="B60" s="4">
        <f>YEAR(F60)</f>
        <v>2023</v>
      </c>
      <c r="C60" s="4">
        <f>MONTH(F60)</f>
        <v>7</v>
      </c>
      <c r="D60" s="4">
        <f>DAY(F60)</f>
        <v>5</v>
      </c>
      <c r="E60" s="4" t="str">
        <f t="shared" si="0"/>
        <v>Wednesday</v>
      </c>
      <c r="F60" s="3">
        <v>45112</v>
      </c>
      <c r="G60" s="4" t="s">
        <v>91</v>
      </c>
      <c r="H60" s="4" t="s">
        <v>8</v>
      </c>
      <c r="I60" s="4">
        <v>62</v>
      </c>
      <c r="J60" s="4" t="str" cm="1">
        <f t="array" ref="J60">_xlfn.IFS(I60&lt;30,"Young Adult", I60&lt;50,"Adult",I60 &gt;=50,"Seniors")</f>
        <v>Seniors</v>
      </c>
      <c r="K60" s="4" t="s">
        <v>3</v>
      </c>
      <c r="L60" s="4">
        <v>1</v>
      </c>
      <c r="M60" s="5">
        <v>50</v>
      </c>
      <c r="N60">
        <f>L60*M60</f>
        <v>50</v>
      </c>
      <c r="O60" s="15">
        <f>N60*$R$3</f>
        <v>0.75</v>
      </c>
    </row>
    <row r="61" spans="1:15">
      <c r="A61" s="2">
        <v>60</v>
      </c>
      <c r="B61" s="4">
        <f>YEAR(F61)</f>
        <v>2023</v>
      </c>
      <c r="C61" s="4">
        <f>MONTH(F61)</f>
        <v>10</v>
      </c>
      <c r="D61" s="4">
        <f>DAY(F61)</f>
        <v>23</v>
      </c>
      <c r="E61" s="4" t="str">
        <f t="shared" si="0"/>
        <v>Monday</v>
      </c>
      <c r="F61" s="3">
        <v>45222</v>
      </c>
      <c r="G61" s="4" t="s">
        <v>92</v>
      </c>
      <c r="H61" s="4" t="s">
        <v>8</v>
      </c>
      <c r="I61" s="4">
        <v>30</v>
      </c>
      <c r="J61" s="4" t="str" cm="1">
        <f t="array" ref="J61">_xlfn.IFS(I61&lt;30,"Young Adult", I61&lt;50,"Adult",I61 &gt;=50,"Seniors")</f>
        <v>Adult</v>
      </c>
      <c r="K61" s="4" t="s">
        <v>2</v>
      </c>
      <c r="L61" s="4">
        <v>3</v>
      </c>
      <c r="M61" s="5">
        <v>50</v>
      </c>
      <c r="N61">
        <f>L61*M61</f>
        <v>150</v>
      </c>
      <c r="O61" s="15">
        <f>N61*$R$3</f>
        <v>2.25</v>
      </c>
    </row>
    <row r="62" spans="1:15">
      <c r="A62" s="2">
        <v>61</v>
      </c>
      <c r="B62" s="4">
        <f>YEAR(F62)</f>
        <v>2023</v>
      </c>
      <c r="C62" s="4">
        <f>MONTH(F62)</f>
        <v>4</v>
      </c>
      <c r="D62" s="4">
        <f>DAY(F62)</f>
        <v>9</v>
      </c>
      <c r="E62" s="4" t="str">
        <f t="shared" si="0"/>
        <v>Sunday</v>
      </c>
      <c r="F62" s="3">
        <v>45025</v>
      </c>
      <c r="G62" s="4" t="s">
        <v>93</v>
      </c>
      <c r="H62" s="4" t="s">
        <v>8</v>
      </c>
      <c r="I62" s="4">
        <v>21</v>
      </c>
      <c r="J62" s="4" t="str" cm="1">
        <f t="array" ref="J62">_xlfn.IFS(I62&lt;30,"Young Adult", I62&lt;50,"Adult",I62 &gt;=50,"Seniors")</f>
        <v>Young Adult</v>
      </c>
      <c r="K62" s="4" t="s">
        <v>2</v>
      </c>
      <c r="L62" s="4">
        <v>4</v>
      </c>
      <c r="M62" s="5">
        <v>50</v>
      </c>
      <c r="N62">
        <f>L62*M62</f>
        <v>200</v>
      </c>
      <c r="O62" s="15">
        <f>N62*$R$3</f>
        <v>3</v>
      </c>
    </row>
    <row r="63" spans="1:15">
      <c r="A63" s="2">
        <v>62</v>
      </c>
      <c r="B63" s="4">
        <f>YEAR(F63)</f>
        <v>2023</v>
      </c>
      <c r="C63" s="4">
        <f>MONTH(F63)</f>
        <v>12</v>
      </c>
      <c r="D63" s="4">
        <f>DAY(F63)</f>
        <v>27</v>
      </c>
      <c r="E63" s="4" t="str">
        <f t="shared" si="0"/>
        <v>Wednesday</v>
      </c>
      <c r="F63" s="3">
        <v>45287</v>
      </c>
      <c r="G63" s="4" t="s">
        <v>94</v>
      </c>
      <c r="H63" s="4" t="s">
        <v>8</v>
      </c>
      <c r="I63" s="4">
        <v>18</v>
      </c>
      <c r="J63" s="4" t="str" cm="1">
        <f t="array" ref="J63">_xlfn.IFS(I63&lt;30,"Young Adult", I63&lt;50,"Adult",I63 &gt;=50,"Seniors")</f>
        <v>Young Adult</v>
      </c>
      <c r="K63" s="4" t="s">
        <v>2</v>
      </c>
      <c r="L63" s="4">
        <v>2</v>
      </c>
      <c r="M63" s="5">
        <v>50</v>
      </c>
      <c r="N63">
        <f>L63*M63</f>
        <v>100</v>
      </c>
      <c r="O63" s="15">
        <f>N63*$R$3</f>
        <v>1.5</v>
      </c>
    </row>
    <row r="64" spans="1:15">
      <c r="A64" s="2">
        <v>63</v>
      </c>
      <c r="B64" s="4">
        <f>YEAR(F64)</f>
        <v>2023</v>
      </c>
      <c r="C64" s="4">
        <f>MONTH(F64)</f>
        <v>2</v>
      </c>
      <c r="D64" s="4">
        <f>DAY(F64)</f>
        <v>5</v>
      </c>
      <c r="E64" s="4" t="str">
        <f t="shared" si="0"/>
        <v>Sunday</v>
      </c>
      <c r="F64" s="3">
        <v>44962</v>
      </c>
      <c r="G64" s="4" t="s">
        <v>95</v>
      </c>
      <c r="H64" s="4" t="s">
        <v>8</v>
      </c>
      <c r="I64" s="4">
        <v>57</v>
      </c>
      <c r="J64" s="4" t="str" cm="1">
        <f t="array" ref="J64">_xlfn.IFS(I64&lt;30,"Young Adult", I64&lt;50,"Adult",I64 &gt;=50,"Seniors")</f>
        <v>Seniors</v>
      </c>
      <c r="K64" s="4" t="s">
        <v>4</v>
      </c>
      <c r="L64" s="4">
        <v>2</v>
      </c>
      <c r="M64" s="5">
        <v>25</v>
      </c>
      <c r="N64">
        <f>L64*M64</f>
        <v>50</v>
      </c>
      <c r="O64" s="15">
        <f>N64*$R$3</f>
        <v>0.75</v>
      </c>
    </row>
    <row r="65" spans="1:15">
      <c r="A65" s="2">
        <v>64</v>
      </c>
      <c r="B65" s="4">
        <f>YEAR(F65)</f>
        <v>2023</v>
      </c>
      <c r="C65" s="4">
        <f>MONTH(F65)</f>
        <v>1</v>
      </c>
      <c r="D65" s="4">
        <f>DAY(F65)</f>
        <v>24</v>
      </c>
      <c r="E65" s="4" t="str">
        <f t="shared" si="0"/>
        <v>Tuesday</v>
      </c>
      <c r="F65" s="3">
        <v>44950</v>
      </c>
      <c r="G65" s="4" t="s">
        <v>96</v>
      </c>
      <c r="H65" s="4" t="s">
        <v>8</v>
      </c>
      <c r="I65" s="4">
        <v>49</v>
      </c>
      <c r="J65" s="4" t="str" cm="1">
        <f t="array" ref="J65">_xlfn.IFS(I65&lt;30,"Young Adult", I65&lt;50,"Adult",I65 &gt;=50,"Seniors")</f>
        <v>Adult</v>
      </c>
      <c r="K65" s="4" t="s">
        <v>3</v>
      </c>
      <c r="L65" s="4">
        <v>4</v>
      </c>
      <c r="M65" s="5">
        <v>25</v>
      </c>
      <c r="N65">
        <f>L65*M65</f>
        <v>100</v>
      </c>
      <c r="O65" s="15">
        <f>N65*$R$3</f>
        <v>1.5</v>
      </c>
    </row>
    <row r="66" spans="1:15">
      <c r="A66" s="2">
        <v>65</v>
      </c>
      <c r="B66" s="4">
        <f>YEAR(F66)</f>
        <v>2023</v>
      </c>
      <c r="C66" s="4">
        <f>MONTH(F66)</f>
        <v>12</v>
      </c>
      <c r="D66" s="4">
        <f>DAY(F66)</f>
        <v>5</v>
      </c>
      <c r="E66" s="4" t="str">
        <f t="shared" si="0"/>
        <v>Tuesday</v>
      </c>
      <c r="F66" s="3">
        <v>45265</v>
      </c>
      <c r="G66" s="4" t="s">
        <v>97</v>
      </c>
      <c r="H66" s="4" t="s">
        <v>8</v>
      </c>
      <c r="I66" s="4">
        <v>51</v>
      </c>
      <c r="J66" s="4" t="str" cm="1">
        <f t="array" ref="J66">_xlfn.IFS(I66&lt;30,"Young Adult", I66&lt;50,"Adult",I66 &gt;=50,"Seniors")</f>
        <v>Seniors</v>
      </c>
      <c r="K66" s="4" t="s">
        <v>4</v>
      </c>
      <c r="L66" s="4">
        <v>4</v>
      </c>
      <c r="M66" s="5">
        <v>500</v>
      </c>
      <c r="N66">
        <f>L66*M66</f>
        <v>2000</v>
      </c>
      <c r="O66" s="15">
        <f>N66*$R$3</f>
        <v>30</v>
      </c>
    </row>
    <row r="67" spans="1:15">
      <c r="A67" s="2">
        <v>66</v>
      </c>
      <c r="B67" s="4">
        <f>YEAR(F67)</f>
        <v>2023</v>
      </c>
      <c r="C67" s="4">
        <f>MONTH(F67)</f>
        <v>4</v>
      </c>
      <c r="D67" s="4">
        <f>DAY(F67)</f>
        <v>27</v>
      </c>
      <c r="E67" s="4" t="str">
        <f t="shared" ref="E67:E130" si="1">TEXT(F67,"dddd")</f>
        <v>Thursday</v>
      </c>
      <c r="F67" s="3">
        <v>45043</v>
      </c>
      <c r="G67" s="4" t="s">
        <v>98</v>
      </c>
      <c r="H67" s="4" t="s">
        <v>7</v>
      </c>
      <c r="I67" s="4">
        <v>45</v>
      </c>
      <c r="J67" s="4" t="str" cm="1">
        <f t="array" ref="J67">_xlfn.IFS(I67&lt;30,"Young Adult", I67&lt;50,"Adult",I67 &gt;=50,"Seniors")</f>
        <v>Adult</v>
      </c>
      <c r="K67" s="4" t="s">
        <v>4</v>
      </c>
      <c r="L67" s="4">
        <v>1</v>
      </c>
      <c r="M67" s="5">
        <v>30</v>
      </c>
      <c r="N67">
        <f>L67*M67</f>
        <v>30</v>
      </c>
      <c r="O67" s="15">
        <f>N67*$R$3</f>
        <v>0.44999999999999996</v>
      </c>
    </row>
    <row r="68" spans="1:15">
      <c r="A68" s="2">
        <v>67</v>
      </c>
      <c r="B68" s="4">
        <f>YEAR(F68)</f>
        <v>2023</v>
      </c>
      <c r="C68" s="4">
        <f>MONTH(F68)</f>
        <v>5</v>
      </c>
      <c r="D68" s="4">
        <f>DAY(F68)</f>
        <v>29</v>
      </c>
      <c r="E68" s="4" t="str">
        <f t="shared" si="1"/>
        <v>Monday</v>
      </c>
      <c r="F68" s="3">
        <v>45075</v>
      </c>
      <c r="G68" s="4" t="s">
        <v>99</v>
      </c>
      <c r="H68" s="4" t="s">
        <v>7</v>
      </c>
      <c r="I68" s="4">
        <v>48</v>
      </c>
      <c r="J68" s="4" t="str" cm="1">
        <f t="array" ref="J68">_xlfn.IFS(I68&lt;30,"Young Adult", I68&lt;50,"Adult",I68 &gt;=50,"Seniors")</f>
        <v>Adult</v>
      </c>
      <c r="K68" s="4" t="s">
        <v>2</v>
      </c>
      <c r="L68" s="4">
        <v>4</v>
      </c>
      <c r="M68" s="5">
        <v>300</v>
      </c>
      <c r="N68">
        <f>L68*M68</f>
        <v>1200</v>
      </c>
      <c r="O68" s="15">
        <f>N68*$R$3</f>
        <v>18</v>
      </c>
    </row>
    <row r="69" spans="1:15">
      <c r="A69" s="2">
        <v>68</v>
      </c>
      <c r="B69" s="4">
        <f>YEAR(F69)</f>
        <v>2023</v>
      </c>
      <c r="C69" s="4">
        <f>MONTH(F69)</f>
        <v>2</v>
      </c>
      <c r="D69" s="4">
        <f>DAY(F69)</f>
        <v>10</v>
      </c>
      <c r="E69" s="4" t="str">
        <f t="shared" si="1"/>
        <v>Friday</v>
      </c>
      <c r="F69" s="3">
        <v>44967</v>
      </c>
      <c r="G69" s="4" t="s">
        <v>100</v>
      </c>
      <c r="H69" s="4" t="s">
        <v>8</v>
      </c>
      <c r="I69" s="4">
        <v>25</v>
      </c>
      <c r="J69" s="4" t="str" cm="1">
        <f t="array" ref="J69">_xlfn.IFS(I69&lt;30,"Young Adult", I69&lt;50,"Adult",I69 &gt;=50,"Seniors")</f>
        <v>Young Adult</v>
      </c>
      <c r="K69" s="4" t="s">
        <v>4</v>
      </c>
      <c r="L69" s="4">
        <v>1</v>
      </c>
      <c r="M69" s="5">
        <v>300</v>
      </c>
      <c r="N69">
        <f>L69*M69</f>
        <v>300</v>
      </c>
      <c r="O69" s="15">
        <f>N69*$R$3</f>
        <v>4.5</v>
      </c>
    </row>
    <row r="70" spans="1:15">
      <c r="A70" s="2">
        <v>69</v>
      </c>
      <c r="B70" s="4">
        <f>YEAR(F70)</f>
        <v>2023</v>
      </c>
      <c r="C70" s="4">
        <f>MONTH(F70)</f>
        <v>4</v>
      </c>
      <c r="D70" s="4">
        <f>DAY(F70)</f>
        <v>30</v>
      </c>
      <c r="E70" s="4" t="str">
        <f t="shared" si="1"/>
        <v>Sunday</v>
      </c>
      <c r="F70" s="3">
        <v>45046</v>
      </c>
      <c r="G70" s="4" t="s">
        <v>101</v>
      </c>
      <c r="H70" s="4" t="s">
        <v>7</v>
      </c>
      <c r="I70" s="4">
        <v>56</v>
      </c>
      <c r="J70" s="4" t="str" cm="1">
        <f t="array" ref="J70">_xlfn.IFS(I70&lt;30,"Young Adult", I70&lt;50,"Adult",I70 &gt;=50,"Seniors")</f>
        <v>Seniors</v>
      </c>
      <c r="K70" s="4" t="s">
        <v>2</v>
      </c>
      <c r="L70" s="4">
        <v>3</v>
      </c>
      <c r="M70" s="5">
        <v>25</v>
      </c>
      <c r="N70">
        <f>L70*M70</f>
        <v>75</v>
      </c>
      <c r="O70" s="15">
        <f>N70*$R$3</f>
        <v>1.125</v>
      </c>
    </row>
    <row r="71" spans="1:15">
      <c r="A71" s="2">
        <v>70</v>
      </c>
      <c r="B71" s="4">
        <f>YEAR(F71)</f>
        <v>2023</v>
      </c>
      <c r="C71" s="4">
        <f>MONTH(F71)</f>
        <v>2</v>
      </c>
      <c r="D71" s="4">
        <f>DAY(F71)</f>
        <v>21</v>
      </c>
      <c r="E71" s="4" t="str">
        <f t="shared" si="1"/>
        <v>Tuesday</v>
      </c>
      <c r="F71" s="3">
        <v>44978</v>
      </c>
      <c r="G71" s="4" t="s">
        <v>102</v>
      </c>
      <c r="H71" s="4" t="s">
        <v>7</v>
      </c>
      <c r="I71" s="4">
        <v>43</v>
      </c>
      <c r="J71" s="4" t="str" cm="1">
        <f t="array" ref="J71">_xlfn.IFS(I71&lt;30,"Young Adult", I71&lt;50,"Adult",I71 &gt;=50,"Seniors")</f>
        <v>Adult</v>
      </c>
      <c r="K71" s="4" t="s">
        <v>3</v>
      </c>
      <c r="L71" s="4">
        <v>1</v>
      </c>
      <c r="M71" s="5">
        <v>300</v>
      </c>
      <c r="N71">
        <f>L71*M71</f>
        <v>300</v>
      </c>
      <c r="O71" s="15">
        <f>N71*$R$3</f>
        <v>4.5</v>
      </c>
    </row>
    <row r="72" spans="1:15">
      <c r="A72" s="2">
        <v>71</v>
      </c>
      <c r="B72" s="4">
        <f>YEAR(F72)</f>
        <v>2023</v>
      </c>
      <c r="C72" s="4">
        <f>MONTH(F72)</f>
        <v>7</v>
      </c>
      <c r="D72" s="4">
        <f>DAY(F72)</f>
        <v>14</v>
      </c>
      <c r="E72" s="4" t="str">
        <f t="shared" si="1"/>
        <v>Friday</v>
      </c>
      <c r="F72" s="3">
        <v>45121</v>
      </c>
      <c r="G72" s="4" t="s">
        <v>103</v>
      </c>
      <c r="H72" s="4" t="s">
        <v>7</v>
      </c>
      <c r="I72" s="4">
        <v>51</v>
      </c>
      <c r="J72" s="4" t="str" cm="1">
        <f t="array" ref="J72">_xlfn.IFS(I72&lt;30,"Young Adult", I72&lt;50,"Adult",I72 &gt;=50,"Seniors")</f>
        <v>Seniors</v>
      </c>
      <c r="K72" s="4" t="s">
        <v>2</v>
      </c>
      <c r="L72" s="4">
        <v>4</v>
      </c>
      <c r="M72" s="5">
        <v>25</v>
      </c>
      <c r="N72">
        <f>L72*M72</f>
        <v>100</v>
      </c>
      <c r="O72" s="15">
        <f>N72*$R$3</f>
        <v>1.5</v>
      </c>
    </row>
    <row r="73" spans="1:15">
      <c r="A73" s="2">
        <v>72</v>
      </c>
      <c r="B73" s="4">
        <f>YEAR(F73)</f>
        <v>2023</v>
      </c>
      <c r="C73" s="4">
        <f>MONTH(F73)</f>
        <v>5</v>
      </c>
      <c r="D73" s="4">
        <f>DAY(F73)</f>
        <v>23</v>
      </c>
      <c r="E73" s="4" t="str">
        <f t="shared" si="1"/>
        <v>Tuesday</v>
      </c>
      <c r="F73" s="3">
        <v>45069</v>
      </c>
      <c r="G73" s="4" t="s">
        <v>104</v>
      </c>
      <c r="H73" s="4" t="s">
        <v>7</v>
      </c>
      <c r="I73" s="4">
        <v>20</v>
      </c>
      <c r="J73" s="4" t="str" cm="1">
        <f t="array" ref="J73">_xlfn.IFS(I73&lt;30,"Young Adult", I73&lt;50,"Adult",I73 &gt;=50,"Seniors")</f>
        <v>Young Adult</v>
      </c>
      <c r="K73" s="4" t="s">
        <v>4</v>
      </c>
      <c r="L73" s="4">
        <v>4</v>
      </c>
      <c r="M73" s="5">
        <v>500</v>
      </c>
      <c r="N73">
        <f>L73*M73</f>
        <v>2000</v>
      </c>
      <c r="O73" s="15">
        <f>N73*$R$3</f>
        <v>30</v>
      </c>
    </row>
    <row r="74" spans="1:15">
      <c r="A74" s="2">
        <v>73</v>
      </c>
      <c r="B74" s="4">
        <f>YEAR(F74)</f>
        <v>2023</v>
      </c>
      <c r="C74" s="4">
        <f>MONTH(F74)</f>
        <v>8</v>
      </c>
      <c r="D74" s="4">
        <f>DAY(F74)</f>
        <v>21</v>
      </c>
      <c r="E74" s="4" t="str">
        <f t="shared" si="1"/>
        <v>Monday</v>
      </c>
      <c r="F74" s="3">
        <v>45159</v>
      </c>
      <c r="G74" s="4" t="s">
        <v>105</v>
      </c>
      <c r="H74" s="4" t="s">
        <v>8</v>
      </c>
      <c r="I74" s="4">
        <v>29</v>
      </c>
      <c r="J74" s="4" t="str" cm="1">
        <f t="array" ref="J74">_xlfn.IFS(I74&lt;30,"Young Adult", I74&lt;50,"Adult",I74 &gt;=50,"Seniors")</f>
        <v>Young Adult</v>
      </c>
      <c r="K74" s="4" t="s">
        <v>4</v>
      </c>
      <c r="L74" s="4">
        <v>3</v>
      </c>
      <c r="M74" s="5">
        <v>30</v>
      </c>
      <c r="N74">
        <f>L74*M74</f>
        <v>90</v>
      </c>
      <c r="O74" s="15">
        <f>N74*$R$3</f>
        <v>1.3499999999999999</v>
      </c>
    </row>
    <row r="75" spans="1:15">
      <c r="A75" s="2">
        <v>74</v>
      </c>
      <c r="B75" s="4">
        <f>YEAR(F75)</f>
        <v>2023</v>
      </c>
      <c r="C75" s="4">
        <f>MONTH(F75)</f>
        <v>11</v>
      </c>
      <c r="D75" s="4">
        <f>DAY(F75)</f>
        <v>22</v>
      </c>
      <c r="E75" s="4" t="str">
        <f t="shared" si="1"/>
        <v>Wednesday</v>
      </c>
      <c r="F75" s="3">
        <v>45252</v>
      </c>
      <c r="G75" s="4" t="s">
        <v>106</v>
      </c>
      <c r="H75" s="4" t="s">
        <v>7</v>
      </c>
      <c r="I75" s="4">
        <v>18</v>
      </c>
      <c r="J75" s="4" t="str" cm="1">
        <f t="array" ref="J75">_xlfn.IFS(I75&lt;30,"Young Adult", I75&lt;50,"Adult",I75 &gt;=50,"Seniors")</f>
        <v>Young Adult</v>
      </c>
      <c r="K75" s="4" t="s">
        <v>2</v>
      </c>
      <c r="L75" s="4">
        <v>4</v>
      </c>
      <c r="M75" s="5">
        <v>500</v>
      </c>
      <c r="N75">
        <f>L75*M75</f>
        <v>2000</v>
      </c>
      <c r="O75" s="15">
        <f>N75*$R$3</f>
        <v>30</v>
      </c>
    </row>
    <row r="76" spans="1:15">
      <c r="A76" s="2">
        <v>75</v>
      </c>
      <c r="B76" s="4">
        <f>YEAR(F76)</f>
        <v>2023</v>
      </c>
      <c r="C76" s="4">
        <f>MONTH(F76)</f>
        <v>7</v>
      </c>
      <c r="D76" s="4">
        <f>DAY(F76)</f>
        <v>6</v>
      </c>
      <c r="E76" s="4" t="str">
        <f t="shared" si="1"/>
        <v>Thursday</v>
      </c>
      <c r="F76" s="3">
        <v>45113</v>
      </c>
      <c r="G76" s="4" t="s">
        <v>107</v>
      </c>
      <c r="H76" s="4" t="s">
        <v>8</v>
      </c>
      <c r="I76" s="4">
        <v>61</v>
      </c>
      <c r="J76" s="4" t="str" cm="1">
        <f t="array" ref="J76">_xlfn.IFS(I76&lt;30,"Young Adult", I76&lt;50,"Adult",I76 &gt;=50,"Seniors")</f>
        <v>Seniors</v>
      </c>
      <c r="K76" s="4" t="s">
        <v>2</v>
      </c>
      <c r="L76" s="4">
        <v>4</v>
      </c>
      <c r="M76" s="5">
        <v>50</v>
      </c>
      <c r="N76">
        <f>L76*M76</f>
        <v>200</v>
      </c>
      <c r="O76" s="15">
        <f>N76*$R$3</f>
        <v>3</v>
      </c>
    </row>
    <row r="77" spans="1:15">
      <c r="A77" s="2">
        <v>76</v>
      </c>
      <c r="B77" s="4">
        <f>YEAR(F77)</f>
        <v>2023</v>
      </c>
      <c r="C77" s="4">
        <f>MONTH(F77)</f>
        <v>3</v>
      </c>
      <c r="D77" s="4">
        <f>DAY(F77)</f>
        <v>25</v>
      </c>
      <c r="E77" s="4" t="str">
        <f t="shared" si="1"/>
        <v>Saturday</v>
      </c>
      <c r="F77" s="3">
        <v>45010</v>
      </c>
      <c r="G77" s="4" t="s">
        <v>108</v>
      </c>
      <c r="H77" s="4" t="s">
        <v>7</v>
      </c>
      <c r="I77" s="4">
        <v>22</v>
      </c>
      <c r="J77" s="4" t="str" cm="1">
        <f t="array" ref="J77">_xlfn.IFS(I77&lt;30,"Young Adult", I77&lt;50,"Adult",I77 &gt;=50,"Seniors")</f>
        <v>Young Adult</v>
      </c>
      <c r="K77" s="4" t="s">
        <v>4</v>
      </c>
      <c r="L77" s="4">
        <v>2</v>
      </c>
      <c r="M77" s="5">
        <v>50</v>
      </c>
      <c r="N77">
        <f>L77*M77</f>
        <v>100</v>
      </c>
      <c r="O77" s="15">
        <f>N77*$R$3</f>
        <v>1.5</v>
      </c>
    </row>
    <row r="78" spans="1:15">
      <c r="A78" s="2">
        <v>77</v>
      </c>
      <c r="B78" s="4">
        <f>YEAR(F78)</f>
        <v>2023</v>
      </c>
      <c r="C78" s="4">
        <f>MONTH(F78)</f>
        <v>7</v>
      </c>
      <c r="D78" s="4">
        <f>DAY(F78)</f>
        <v>9</v>
      </c>
      <c r="E78" s="4" t="str">
        <f t="shared" si="1"/>
        <v>Sunday</v>
      </c>
      <c r="F78" s="3">
        <v>45116</v>
      </c>
      <c r="G78" s="4" t="s">
        <v>109</v>
      </c>
      <c r="H78" s="4" t="s">
        <v>7</v>
      </c>
      <c r="I78" s="4">
        <v>47</v>
      </c>
      <c r="J78" s="4" t="str" cm="1">
        <f t="array" ref="J78">_xlfn.IFS(I78&lt;30,"Young Adult", I78&lt;50,"Adult",I78 &gt;=50,"Seniors")</f>
        <v>Adult</v>
      </c>
      <c r="K78" s="4" t="s">
        <v>3</v>
      </c>
      <c r="L78" s="4">
        <v>2</v>
      </c>
      <c r="M78" s="5">
        <v>50</v>
      </c>
      <c r="N78">
        <f>L78*M78</f>
        <v>100</v>
      </c>
      <c r="O78" s="15">
        <f>N78*$R$3</f>
        <v>1.5</v>
      </c>
    </row>
    <row r="79" spans="1:15">
      <c r="A79" s="2">
        <v>78</v>
      </c>
      <c r="B79" s="4">
        <f>YEAR(F79)</f>
        <v>2023</v>
      </c>
      <c r="C79" s="4">
        <f>MONTH(F79)</f>
        <v>7</v>
      </c>
      <c r="D79" s="4">
        <f>DAY(F79)</f>
        <v>1</v>
      </c>
      <c r="E79" s="4" t="str">
        <f t="shared" si="1"/>
        <v>Saturday</v>
      </c>
      <c r="F79" s="3">
        <v>45108</v>
      </c>
      <c r="G79" s="4" t="s">
        <v>110</v>
      </c>
      <c r="H79" s="4" t="s">
        <v>7</v>
      </c>
      <c r="I79" s="4">
        <v>47</v>
      </c>
      <c r="J79" s="4" t="str" cm="1">
        <f t="array" ref="J79">_xlfn.IFS(I79&lt;30,"Young Adult", I79&lt;50,"Adult",I79 &gt;=50,"Seniors")</f>
        <v>Adult</v>
      </c>
      <c r="K79" s="4" t="s">
        <v>3</v>
      </c>
      <c r="L79" s="4">
        <v>3</v>
      </c>
      <c r="M79" s="5">
        <v>500</v>
      </c>
      <c r="N79">
        <f>L79*M79</f>
        <v>1500</v>
      </c>
      <c r="O79" s="15">
        <f>N79*$R$3</f>
        <v>22.5</v>
      </c>
    </row>
    <row r="80" spans="1:15">
      <c r="A80" s="2">
        <v>79</v>
      </c>
      <c r="B80" s="4">
        <f>YEAR(F80)</f>
        <v>2023</v>
      </c>
      <c r="C80" s="4">
        <f>MONTH(F80)</f>
        <v>4</v>
      </c>
      <c r="D80" s="4">
        <f>DAY(F80)</f>
        <v>18</v>
      </c>
      <c r="E80" s="4" t="str">
        <f t="shared" si="1"/>
        <v>Tuesday</v>
      </c>
      <c r="F80" s="3">
        <v>45034</v>
      </c>
      <c r="G80" s="4" t="s">
        <v>111</v>
      </c>
      <c r="H80" s="4" t="s">
        <v>8</v>
      </c>
      <c r="I80" s="4">
        <v>34</v>
      </c>
      <c r="J80" s="4" t="str" cm="1">
        <f t="array" ref="J80">_xlfn.IFS(I80&lt;30,"Young Adult", I80&lt;50,"Adult",I80 &gt;=50,"Seniors")</f>
        <v>Adult</v>
      </c>
      <c r="K80" s="4" t="s">
        <v>2</v>
      </c>
      <c r="L80" s="4">
        <v>1</v>
      </c>
      <c r="M80" s="5">
        <v>300</v>
      </c>
      <c r="N80">
        <f>L80*M80</f>
        <v>300</v>
      </c>
      <c r="O80" s="15">
        <f>N80*$R$3</f>
        <v>4.5</v>
      </c>
    </row>
    <row r="81" spans="1:15">
      <c r="A81" s="2">
        <v>80</v>
      </c>
      <c r="B81" s="4">
        <f>YEAR(F81)</f>
        <v>2023</v>
      </c>
      <c r="C81" s="4">
        <f>MONTH(F81)</f>
        <v>12</v>
      </c>
      <c r="D81" s="4">
        <f>DAY(F81)</f>
        <v>10</v>
      </c>
      <c r="E81" s="4" t="str">
        <f t="shared" si="1"/>
        <v>Sunday</v>
      </c>
      <c r="F81" s="3">
        <v>45270</v>
      </c>
      <c r="G81" s="4" t="s">
        <v>112</v>
      </c>
      <c r="H81" s="4" t="s">
        <v>7</v>
      </c>
      <c r="I81" s="4">
        <v>64</v>
      </c>
      <c r="J81" s="4" t="str" cm="1">
        <f t="array" ref="J81">_xlfn.IFS(I81&lt;30,"Young Adult", I81&lt;50,"Adult",I81 &gt;=50,"Seniors")</f>
        <v>Seniors</v>
      </c>
      <c r="K81" s="4" t="s">
        <v>3</v>
      </c>
      <c r="L81" s="4">
        <v>2</v>
      </c>
      <c r="M81" s="5">
        <v>30</v>
      </c>
      <c r="N81">
        <f>L81*M81</f>
        <v>60</v>
      </c>
      <c r="O81" s="15">
        <f>N81*$R$3</f>
        <v>0.89999999999999991</v>
      </c>
    </row>
    <row r="82" spans="1:15">
      <c r="A82" s="2">
        <v>81</v>
      </c>
      <c r="B82" s="4">
        <f>YEAR(F82)</f>
        <v>2023</v>
      </c>
      <c r="C82" s="4">
        <f>MONTH(F82)</f>
        <v>5</v>
      </c>
      <c r="D82" s="4">
        <f>DAY(F82)</f>
        <v>17</v>
      </c>
      <c r="E82" s="4" t="str">
        <f t="shared" si="1"/>
        <v>Wednesday</v>
      </c>
      <c r="F82" s="3">
        <v>45063</v>
      </c>
      <c r="G82" s="4" t="s">
        <v>113</v>
      </c>
      <c r="H82" s="4" t="s">
        <v>8</v>
      </c>
      <c r="I82" s="4">
        <v>40</v>
      </c>
      <c r="J82" s="4" t="str" cm="1">
        <f t="array" ref="J82">_xlfn.IFS(I82&lt;30,"Young Adult", I82&lt;50,"Adult",I82 &gt;=50,"Seniors")</f>
        <v>Adult</v>
      </c>
      <c r="K82" s="4" t="s">
        <v>4</v>
      </c>
      <c r="L82" s="4">
        <v>1</v>
      </c>
      <c r="M82" s="5">
        <v>50</v>
      </c>
      <c r="N82">
        <f>L82*M82</f>
        <v>50</v>
      </c>
      <c r="O82" s="15">
        <f>N82*$R$3</f>
        <v>0.75</v>
      </c>
    </row>
    <row r="83" spans="1:15">
      <c r="A83" s="2">
        <v>82</v>
      </c>
      <c r="B83" s="4">
        <f>YEAR(F83)</f>
        <v>2023</v>
      </c>
      <c r="C83" s="4">
        <f>MONTH(F83)</f>
        <v>12</v>
      </c>
      <c r="D83" s="4">
        <f>DAY(F83)</f>
        <v>26</v>
      </c>
      <c r="E83" s="4" t="str">
        <f t="shared" si="1"/>
        <v>Tuesday</v>
      </c>
      <c r="F83" s="3">
        <v>45286</v>
      </c>
      <c r="G83" s="4" t="s">
        <v>114</v>
      </c>
      <c r="H83" s="4" t="s">
        <v>7</v>
      </c>
      <c r="I83" s="4">
        <v>32</v>
      </c>
      <c r="J83" s="4" t="str" cm="1">
        <f t="array" ref="J83">_xlfn.IFS(I83&lt;30,"Young Adult", I83&lt;50,"Adult",I83 &gt;=50,"Seniors")</f>
        <v>Adult</v>
      </c>
      <c r="K83" s="4" t="s">
        <v>2</v>
      </c>
      <c r="L83" s="4">
        <v>4</v>
      </c>
      <c r="M83" s="5">
        <v>50</v>
      </c>
      <c r="N83">
        <f>L83*M83</f>
        <v>200</v>
      </c>
      <c r="O83" s="15">
        <f>N83*$R$3</f>
        <v>3</v>
      </c>
    </row>
    <row r="84" spans="1:15">
      <c r="A84" s="2">
        <v>83</v>
      </c>
      <c r="B84" s="4">
        <f>YEAR(F84)</f>
        <v>2023</v>
      </c>
      <c r="C84" s="4">
        <f>MONTH(F84)</f>
        <v>12</v>
      </c>
      <c r="D84" s="4">
        <f>DAY(F84)</f>
        <v>16</v>
      </c>
      <c r="E84" s="4" t="str">
        <f t="shared" si="1"/>
        <v>Saturday</v>
      </c>
      <c r="F84" s="3">
        <v>45276</v>
      </c>
      <c r="G84" s="4" t="s">
        <v>115</v>
      </c>
      <c r="H84" s="4" t="s">
        <v>8</v>
      </c>
      <c r="I84" s="4">
        <v>54</v>
      </c>
      <c r="J84" s="4" t="str" cm="1">
        <f t="array" ref="J84">_xlfn.IFS(I84&lt;30,"Young Adult", I84&lt;50,"Adult",I84 &gt;=50,"Seniors")</f>
        <v>Seniors</v>
      </c>
      <c r="K84" s="4" t="s">
        <v>4</v>
      </c>
      <c r="L84" s="4">
        <v>2</v>
      </c>
      <c r="M84" s="5">
        <v>50</v>
      </c>
      <c r="N84">
        <f>L84*M84</f>
        <v>100</v>
      </c>
      <c r="O84" s="15">
        <f>N84*$R$3</f>
        <v>1.5</v>
      </c>
    </row>
    <row r="85" spans="1:15">
      <c r="A85" s="2">
        <v>84</v>
      </c>
      <c r="B85" s="4">
        <f>YEAR(F85)</f>
        <v>2023</v>
      </c>
      <c r="C85" s="4">
        <f>MONTH(F85)</f>
        <v>11</v>
      </c>
      <c r="D85" s="4">
        <f>DAY(F85)</f>
        <v>28</v>
      </c>
      <c r="E85" s="4" t="str">
        <f t="shared" si="1"/>
        <v>Tuesday</v>
      </c>
      <c r="F85" s="3">
        <v>45258</v>
      </c>
      <c r="G85" s="4" t="s">
        <v>116</v>
      </c>
      <c r="H85" s="4" t="s">
        <v>7</v>
      </c>
      <c r="I85" s="4">
        <v>38</v>
      </c>
      <c r="J85" s="4" t="str" cm="1">
        <f t="array" ref="J85">_xlfn.IFS(I85&lt;30,"Young Adult", I85&lt;50,"Adult",I85 &gt;=50,"Seniors")</f>
        <v>Adult</v>
      </c>
      <c r="K85" s="4" t="s">
        <v>4</v>
      </c>
      <c r="L85" s="4">
        <v>3</v>
      </c>
      <c r="M85" s="5">
        <v>30</v>
      </c>
      <c r="N85">
        <f>L85*M85</f>
        <v>90</v>
      </c>
      <c r="O85" s="15">
        <f>N85*$R$3</f>
        <v>1.3499999999999999</v>
      </c>
    </row>
    <row r="86" spans="1:15">
      <c r="A86" s="2">
        <v>85</v>
      </c>
      <c r="B86" s="4">
        <f>YEAR(F86)</f>
        <v>2023</v>
      </c>
      <c r="C86" s="4">
        <f>MONTH(F86)</f>
        <v>2</v>
      </c>
      <c r="D86" s="4">
        <f>DAY(F86)</f>
        <v>6</v>
      </c>
      <c r="E86" s="4" t="str">
        <f t="shared" si="1"/>
        <v>Monday</v>
      </c>
      <c r="F86" s="3">
        <v>44963</v>
      </c>
      <c r="G86" s="4" t="s">
        <v>117</v>
      </c>
      <c r="H86" s="4" t="s">
        <v>8</v>
      </c>
      <c r="I86" s="4">
        <v>31</v>
      </c>
      <c r="J86" s="4" t="str" cm="1">
        <f t="array" ref="J86">_xlfn.IFS(I86&lt;30,"Young Adult", I86&lt;50,"Adult",I86 &gt;=50,"Seniors")</f>
        <v>Adult</v>
      </c>
      <c r="K86" s="4" t="s">
        <v>3</v>
      </c>
      <c r="L86" s="4">
        <v>3</v>
      </c>
      <c r="M86" s="5">
        <v>50</v>
      </c>
      <c r="N86">
        <f>L86*M86</f>
        <v>150</v>
      </c>
      <c r="O86" s="15">
        <f>N86*$R$3</f>
        <v>2.25</v>
      </c>
    </row>
    <row r="87" spans="1:15">
      <c r="A87" s="2">
        <v>86</v>
      </c>
      <c r="B87" s="4">
        <f>YEAR(F87)</f>
        <v>2023</v>
      </c>
      <c r="C87" s="4">
        <f>MONTH(F87)</f>
        <v>11</v>
      </c>
      <c r="D87" s="4">
        <f>DAY(F87)</f>
        <v>8</v>
      </c>
      <c r="E87" s="4" t="str">
        <f t="shared" si="1"/>
        <v>Wednesday</v>
      </c>
      <c r="F87" s="3">
        <v>45238</v>
      </c>
      <c r="G87" s="4" t="s">
        <v>118</v>
      </c>
      <c r="H87" s="4" t="s">
        <v>8</v>
      </c>
      <c r="I87" s="4">
        <v>19</v>
      </c>
      <c r="J87" s="4" t="str" cm="1">
        <f t="array" ref="J87">_xlfn.IFS(I87&lt;30,"Young Adult", I87&lt;50,"Adult",I87 &gt;=50,"Seniors")</f>
        <v>Young Adult</v>
      </c>
      <c r="K87" s="4" t="s">
        <v>2</v>
      </c>
      <c r="L87" s="4">
        <v>3</v>
      </c>
      <c r="M87" s="5">
        <v>30</v>
      </c>
      <c r="N87">
        <f>L87*M87</f>
        <v>90</v>
      </c>
      <c r="O87" s="15">
        <f>N87*$R$3</f>
        <v>1.3499999999999999</v>
      </c>
    </row>
    <row r="88" spans="1:15">
      <c r="A88" s="2">
        <v>87</v>
      </c>
      <c r="B88" s="4">
        <f>YEAR(F88)</f>
        <v>2023</v>
      </c>
      <c r="C88" s="4">
        <f>MONTH(F88)</f>
        <v>11</v>
      </c>
      <c r="D88" s="4">
        <f>DAY(F88)</f>
        <v>22</v>
      </c>
      <c r="E88" s="4" t="str">
        <f t="shared" si="1"/>
        <v>Wednesday</v>
      </c>
      <c r="F88" s="3">
        <v>45252</v>
      </c>
      <c r="G88" s="4" t="s">
        <v>119</v>
      </c>
      <c r="H88" s="4" t="s">
        <v>7</v>
      </c>
      <c r="I88" s="4">
        <v>28</v>
      </c>
      <c r="J88" s="4" t="str" cm="1">
        <f t="array" ref="J88">_xlfn.IFS(I88&lt;30,"Young Adult", I88&lt;50,"Adult",I88 &gt;=50,"Seniors")</f>
        <v>Young Adult</v>
      </c>
      <c r="K88" s="4" t="s">
        <v>2</v>
      </c>
      <c r="L88" s="4">
        <v>2</v>
      </c>
      <c r="M88" s="5">
        <v>50</v>
      </c>
      <c r="N88">
        <f>L88*M88</f>
        <v>100</v>
      </c>
      <c r="O88" s="15">
        <f>N88*$R$3</f>
        <v>1.5</v>
      </c>
    </row>
    <row r="89" spans="1:15">
      <c r="A89" s="2">
        <v>88</v>
      </c>
      <c r="B89" s="4">
        <f>YEAR(F89)</f>
        <v>2023</v>
      </c>
      <c r="C89" s="4">
        <f>MONTH(F89)</f>
        <v>3</v>
      </c>
      <c r="D89" s="4">
        <f>DAY(F89)</f>
        <v>29</v>
      </c>
      <c r="E89" s="4" t="str">
        <f t="shared" si="1"/>
        <v>Wednesday</v>
      </c>
      <c r="F89" s="3">
        <v>45014</v>
      </c>
      <c r="G89" s="4" t="s">
        <v>120</v>
      </c>
      <c r="H89" s="4" t="s">
        <v>8</v>
      </c>
      <c r="I89" s="4">
        <v>56</v>
      </c>
      <c r="J89" s="4" t="str" cm="1">
        <f t="array" ref="J89">_xlfn.IFS(I89&lt;30,"Young Adult", I89&lt;50,"Adult",I89 &gt;=50,"Seniors")</f>
        <v>Seniors</v>
      </c>
      <c r="K89" s="4" t="s">
        <v>3</v>
      </c>
      <c r="L89" s="4">
        <v>1</v>
      </c>
      <c r="M89" s="5">
        <v>500</v>
      </c>
      <c r="N89">
        <f>L89*M89</f>
        <v>500</v>
      </c>
      <c r="O89" s="15">
        <f>N89*$R$3</f>
        <v>7.5</v>
      </c>
    </row>
    <row r="90" spans="1:15">
      <c r="A90" s="2">
        <v>89</v>
      </c>
      <c r="B90" s="4">
        <f>YEAR(F90)</f>
        <v>2023</v>
      </c>
      <c r="C90" s="4">
        <f>MONTH(F90)</f>
        <v>10</v>
      </c>
      <c r="D90" s="4">
        <f>DAY(F90)</f>
        <v>1</v>
      </c>
      <c r="E90" s="4" t="str">
        <f t="shared" si="1"/>
        <v>Sunday</v>
      </c>
      <c r="F90" s="3">
        <v>45200</v>
      </c>
      <c r="G90" s="4" t="s">
        <v>121</v>
      </c>
      <c r="H90" s="4" t="s">
        <v>7</v>
      </c>
      <c r="I90" s="4">
        <v>55</v>
      </c>
      <c r="J90" s="4" t="str" cm="1">
        <f t="array" ref="J90">_xlfn.IFS(I90&lt;30,"Young Adult", I90&lt;50,"Adult",I90 &gt;=50,"Seniors")</f>
        <v>Seniors</v>
      </c>
      <c r="K90" s="4" t="s">
        <v>4</v>
      </c>
      <c r="L90" s="4">
        <v>4</v>
      </c>
      <c r="M90" s="5">
        <v>500</v>
      </c>
      <c r="N90">
        <f>L90*M90</f>
        <v>2000</v>
      </c>
      <c r="O90" s="15">
        <f>N90*$R$3</f>
        <v>30</v>
      </c>
    </row>
    <row r="91" spans="1:15">
      <c r="A91" s="2">
        <v>90</v>
      </c>
      <c r="B91" s="4">
        <f>YEAR(F91)</f>
        <v>2023</v>
      </c>
      <c r="C91" s="4">
        <f>MONTH(F91)</f>
        <v>5</v>
      </c>
      <c r="D91" s="4">
        <f>DAY(F91)</f>
        <v>6</v>
      </c>
      <c r="E91" s="4" t="str">
        <f t="shared" si="1"/>
        <v>Saturday</v>
      </c>
      <c r="F91" s="3">
        <v>45052</v>
      </c>
      <c r="G91" s="4" t="s">
        <v>122</v>
      </c>
      <c r="H91" s="4" t="s">
        <v>7</v>
      </c>
      <c r="I91" s="4">
        <v>51</v>
      </c>
      <c r="J91" s="4" t="str" cm="1">
        <f t="array" ref="J91">_xlfn.IFS(I91&lt;30,"Young Adult", I91&lt;50,"Adult",I91 &gt;=50,"Seniors")</f>
        <v>Seniors</v>
      </c>
      <c r="K91" s="4" t="s">
        <v>4</v>
      </c>
      <c r="L91" s="4">
        <v>1</v>
      </c>
      <c r="M91" s="5">
        <v>30</v>
      </c>
      <c r="N91">
        <f>L91*M91</f>
        <v>30</v>
      </c>
      <c r="O91" s="15">
        <f>N91*$R$3</f>
        <v>0.44999999999999996</v>
      </c>
    </row>
    <row r="92" spans="1:15">
      <c r="A92" s="2">
        <v>91</v>
      </c>
      <c r="B92" s="4">
        <f>YEAR(F92)</f>
        <v>2023</v>
      </c>
      <c r="C92" s="4">
        <f>MONTH(F92)</f>
        <v>3</v>
      </c>
      <c r="D92" s="4">
        <f>DAY(F92)</f>
        <v>25</v>
      </c>
      <c r="E92" s="4" t="str">
        <f t="shared" si="1"/>
        <v>Saturday</v>
      </c>
      <c r="F92" s="3">
        <v>45010</v>
      </c>
      <c r="G92" s="4" t="s">
        <v>123</v>
      </c>
      <c r="H92" s="4" t="s">
        <v>7</v>
      </c>
      <c r="I92" s="4">
        <v>55</v>
      </c>
      <c r="J92" s="4" t="str" cm="1">
        <f t="array" ref="J92">_xlfn.IFS(I92&lt;30,"Young Adult", I92&lt;50,"Adult",I92 &gt;=50,"Seniors")</f>
        <v>Seniors</v>
      </c>
      <c r="K92" s="4" t="s">
        <v>4</v>
      </c>
      <c r="L92" s="4">
        <v>1</v>
      </c>
      <c r="M92" s="5">
        <v>500</v>
      </c>
      <c r="N92">
        <f>L92*M92</f>
        <v>500</v>
      </c>
      <c r="O92" s="15">
        <f>N92*$R$3</f>
        <v>7.5</v>
      </c>
    </row>
    <row r="93" spans="1:15">
      <c r="A93" s="2">
        <v>92</v>
      </c>
      <c r="B93" s="4">
        <f>YEAR(F93)</f>
        <v>2023</v>
      </c>
      <c r="C93" s="4">
        <f>MONTH(F93)</f>
        <v>8</v>
      </c>
      <c r="D93" s="4">
        <f>DAY(F93)</f>
        <v>25</v>
      </c>
      <c r="E93" s="4" t="str">
        <f t="shared" si="1"/>
        <v>Friday</v>
      </c>
      <c r="F93" s="3">
        <v>45163</v>
      </c>
      <c r="G93" s="4" t="s">
        <v>124</v>
      </c>
      <c r="H93" s="4" t="s">
        <v>7</v>
      </c>
      <c r="I93" s="4">
        <v>51</v>
      </c>
      <c r="J93" s="4" t="str" cm="1">
        <f t="array" ref="J93">_xlfn.IFS(I93&lt;30,"Young Adult", I93&lt;50,"Adult",I93 &gt;=50,"Seniors")</f>
        <v>Seniors</v>
      </c>
      <c r="K93" s="4" t="s">
        <v>4</v>
      </c>
      <c r="L93" s="4">
        <v>4</v>
      </c>
      <c r="M93" s="5">
        <v>30</v>
      </c>
      <c r="N93">
        <f>L93*M93</f>
        <v>120</v>
      </c>
      <c r="O93" s="15">
        <f>N93*$R$3</f>
        <v>1.7999999999999998</v>
      </c>
    </row>
    <row r="94" spans="1:15">
      <c r="A94" s="2">
        <v>93</v>
      </c>
      <c r="B94" s="4">
        <f>YEAR(F94)</f>
        <v>2023</v>
      </c>
      <c r="C94" s="4">
        <f>MONTH(F94)</f>
        <v>7</v>
      </c>
      <c r="D94" s="4">
        <f>DAY(F94)</f>
        <v>14</v>
      </c>
      <c r="E94" s="4" t="str">
        <f t="shared" si="1"/>
        <v>Friday</v>
      </c>
      <c r="F94" s="3">
        <v>45121</v>
      </c>
      <c r="G94" s="4" t="s">
        <v>125</v>
      </c>
      <c r="H94" s="4" t="s">
        <v>7</v>
      </c>
      <c r="I94" s="4">
        <v>35</v>
      </c>
      <c r="J94" s="4" t="str" cm="1">
        <f t="array" ref="J94">_xlfn.IFS(I94&lt;30,"Young Adult", I94&lt;50,"Adult",I94 &gt;=50,"Seniors")</f>
        <v>Adult</v>
      </c>
      <c r="K94" s="4" t="s">
        <v>2</v>
      </c>
      <c r="L94" s="4">
        <v>4</v>
      </c>
      <c r="M94" s="5">
        <v>500</v>
      </c>
      <c r="N94">
        <f>L94*M94</f>
        <v>2000</v>
      </c>
      <c r="O94" s="15">
        <f>N94*$R$3</f>
        <v>30</v>
      </c>
    </row>
    <row r="95" spans="1:15">
      <c r="A95" s="2">
        <v>94</v>
      </c>
      <c r="B95" s="4">
        <f>YEAR(F95)</f>
        <v>2023</v>
      </c>
      <c r="C95" s="4">
        <f>MONTH(F95)</f>
        <v>5</v>
      </c>
      <c r="D95" s="4">
        <f>DAY(F95)</f>
        <v>19</v>
      </c>
      <c r="E95" s="4" t="str">
        <f t="shared" si="1"/>
        <v>Friday</v>
      </c>
      <c r="F95" s="3">
        <v>45065</v>
      </c>
      <c r="G95" s="4" t="s">
        <v>126</v>
      </c>
      <c r="H95" s="4" t="s">
        <v>7</v>
      </c>
      <c r="I95" s="4">
        <v>47</v>
      </c>
      <c r="J95" s="4" t="str" cm="1">
        <f t="array" ref="J95">_xlfn.IFS(I95&lt;30,"Young Adult", I95&lt;50,"Adult",I95 &gt;=50,"Seniors")</f>
        <v>Adult</v>
      </c>
      <c r="K95" s="4" t="s">
        <v>2</v>
      </c>
      <c r="L95" s="4">
        <v>2</v>
      </c>
      <c r="M95" s="5">
        <v>500</v>
      </c>
      <c r="N95">
        <f>L95*M95</f>
        <v>1000</v>
      </c>
      <c r="O95" s="15">
        <f>N95*$R$3</f>
        <v>15</v>
      </c>
    </row>
    <row r="96" spans="1:15">
      <c r="A96" s="2">
        <v>95</v>
      </c>
      <c r="B96" s="4">
        <f>YEAR(F96)</f>
        <v>2023</v>
      </c>
      <c r="C96" s="4">
        <f>MONTH(F96)</f>
        <v>11</v>
      </c>
      <c r="D96" s="4">
        <f>DAY(F96)</f>
        <v>24</v>
      </c>
      <c r="E96" s="4" t="str">
        <f t="shared" si="1"/>
        <v>Friday</v>
      </c>
      <c r="F96" s="3">
        <v>45254</v>
      </c>
      <c r="G96" s="4" t="s">
        <v>127</v>
      </c>
      <c r="H96" s="4" t="s">
        <v>7</v>
      </c>
      <c r="I96" s="4">
        <v>32</v>
      </c>
      <c r="J96" s="4" t="str" cm="1">
        <f t="array" ref="J96">_xlfn.IFS(I96&lt;30,"Young Adult", I96&lt;50,"Adult",I96 &gt;=50,"Seniors")</f>
        <v>Adult</v>
      </c>
      <c r="K96" s="4" t="s">
        <v>3</v>
      </c>
      <c r="L96" s="4">
        <v>2</v>
      </c>
      <c r="M96" s="5">
        <v>30</v>
      </c>
      <c r="N96">
        <f>L96*M96</f>
        <v>60</v>
      </c>
      <c r="O96" s="15">
        <f>N96*$R$3</f>
        <v>0.89999999999999991</v>
      </c>
    </row>
    <row r="97" spans="1:15">
      <c r="A97" s="2">
        <v>96</v>
      </c>
      <c r="B97" s="4">
        <f>YEAR(F97)</f>
        <v>2023</v>
      </c>
      <c r="C97" s="4">
        <f>MONTH(F97)</f>
        <v>12</v>
      </c>
      <c r="D97" s="4">
        <f>DAY(F97)</f>
        <v>19</v>
      </c>
      <c r="E97" s="4" t="str">
        <f t="shared" si="1"/>
        <v>Tuesday</v>
      </c>
      <c r="F97" s="3">
        <v>45279</v>
      </c>
      <c r="G97" s="4" t="s">
        <v>128</v>
      </c>
      <c r="H97" s="4" t="s">
        <v>7</v>
      </c>
      <c r="I97" s="4">
        <v>44</v>
      </c>
      <c r="J97" s="4" t="str" cm="1">
        <f t="array" ref="J97">_xlfn.IFS(I97&lt;30,"Young Adult", I97&lt;50,"Adult",I97 &gt;=50,"Seniors")</f>
        <v>Adult</v>
      </c>
      <c r="K97" s="4" t="s">
        <v>3</v>
      </c>
      <c r="L97" s="4">
        <v>2</v>
      </c>
      <c r="M97" s="5">
        <v>300</v>
      </c>
      <c r="N97">
        <f>L97*M97</f>
        <v>600</v>
      </c>
      <c r="O97" s="15">
        <f>N97*$R$3</f>
        <v>9</v>
      </c>
    </row>
    <row r="98" spans="1:15">
      <c r="A98" s="2">
        <v>97</v>
      </c>
      <c r="B98" s="4">
        <f>YEAR(F98)</f>
        <v>2023</v>
      </c>
      <c r="C98" s="4">
        <f>MONTH(F98)</f>
        <v>10</v>
      </c>
      <c r="D98" s="4">
        <f>DAY(F98)</f>
        <v>13</v>
      </c>
      <c r="E98" s="4" t="str">
        <f t="shared" si="1"/>
        <v>Friday</v>
      </c>
      <c r="F98" s="3">
        <v>45212</v>
      </c>
      <c r="G98" s="4" t="s">
        <v>129</v>
      </c>
      <c r="H98" s="4" t="s">
        <v>7</v>
      </c>
      <c r="I98" s="4">
        <v>51</v>
      </c>
      <c r="J98" s="4" t="str" cm="1">
        <f t="array" ref="J98">_xlfn.IFS(I98&lt;30,"Young Adult", I98&lt;50,"Adult",I98 &gt;=50,"Seniors")</f>
        <v>Seniors</v>
      </c>
      <c r="K98" s="4" t="s">
        <v>2</v>
      </c>
      <c r="L98" s="4">
        <v>2</v>
      </c>
      <c r="M98" s="5">
        <v>500</v>
      </c>
      <c r="N98">
        <f>L98*M98</f>
        <v>1000</v>
      </c>
      <c r="O98" s="15">
        <f>N98*$R$3</f>
        <v>15</v>
      </c>
    </row>
    <row r="99" spans="1:15">
      <c r="A99" s="2">
        <v>98</v>
      </c>
      <c r="B99" s="4">
        <f>YEAR(F99)</f>
        <v>2023</v>
      </c>
      <c r="C99" s="4">
        <f>MONTH(F99)</f>
        <v>4</v>
      </c>
      <c r="D99" s="4">
        <f>DAY(F99)</f>
        <v>23</v>
      </c>
      <c r="E99" s="4" t="str">
        <f t="shared" si="1"/>
        <v>Sunday</v>
      </c>
      <c r="F99" s="3">
        <v>45039</v>
      </c>
      <c r="G99" s="4" t="s">
        <v>130</v>
      </c>
      <c r="H99" s="4" t="s">
        <v>7</v>
      </c>
      <c r="I99" s="4">
        <v>55</v>
      </c>
      <c r="J99" s="4" t="str" cm="1">
        <f t="array" ref="J99">_xlfn.IFS(I99&lt;30,"Young Adult", I99&lt;50,"Adult",I99 &gt;=50,"Seniors")</f>
        <v>Seniors</v>
      </c>
      <c r="K99" s="4" t="s">
        <v>2</v>
      </c>
      <c r="L99" s="4">
        <v>2</v>
      </c>
      <c r="M99" s="5">
        <v>50</v>
      </c>
      <c r="N99">
        <f>L99*M99</f>
        <v>100</v>
      </c>
      <c r="O99" s="15">
        <f>N99*$R$3</f>
        <v>1.5</v>
      </c>
    </row>
    <row r="100" spans="1:15">
      <c r="A100" s="2">
        <v>99</v>
      </c>
      <c r="B100" s="4">
        <f>YEAR(F100)</f>
        <v>2023</v>
      </c>
      <c r="C100" s="4">
        <f>MONTH(F100)</f>
        <v>12</v>
      </c>
      <c r="D100" s="4">
        <f>DAY(F100)</f>
        <v>17</v>
      </c>
      <c r="E100" s="4" t="str">
        <f t="shared" si="1"/>
        <v>Sunday</v>
      </c>
      <c r="F100" s="3">
        <v>45277</v>
      </c>
      <c r="G100" s="4" t="s">
        <v>131</v>
      </c>
      <c r="H100" s="4" t="s">
        <v>7</v>
      </c>
      <c r="I100" s="4">
        <v>50</v>
      </c>
      <c r="J100" s="4" t="str" cm="1">
        <f t="array" ref="J100">_xlfn.IFS(I100&lt;30,"Young Adult", I100&lt;50,"Adult",I100 &gt;=50,"Seniors")</f>
        <v>Seniors</v>
      </c>
      <c r="K100" s="4" t="s">
        <v>4</v>
      </c>
      <c r="L100" s="4">
        <v>4</v>
      </c>
      <c r="M100" s="5">
        <v>300</v>
      </c>
      <c r="N100">
        <f>L100*M100</f>
        <v>1200</v>
      </c>
      <c r="O100" s="15">
        <f>N100*$R$3</f>
        <v>18</v>
      </c>
    </row>
    <row r="101" spans="1:15">
      <c r="A101" s="2">
        <v>100</v>
      </c>
      <c r="B101" s="4">
        <f>YEAR(F101)</f>
        <v>2023</v>
      </c>
      <c r="C101" s="4">
        <f>MONTH(F101)</f>
        <v>6</v>
      </c>
      <c r="D101" s="4">
        <f>DAY(F101)</f>
        <v>16</v>
      </c>
      <c r="E101" s="4" t="str">
        <f t="shared" si="1"/>
        <v>Friday</v>
      </c>
      <c r="F101" s="3">
        <v>45093</v>
      </c>
      <c r="G101" s="4" t="s">
        <v>132</v>
      </c>
      <c r="H101" s="4" t="s">
        <v>8</v>
      </c>
      <c r="I101" s="4">
        <v>41</v>
      </c>
      <c r="J101" s="4" t="str" cm="1">
        <f t="array" ref="J101">_xlfn.IFS(I101&lt;30,"Young Adult", I101&lt;50,"Adult",I101 &gt;=50,"Seniors")</f>
        <v>Adult</v>
      </c>
      <c r="K101" s="4" t="s">
        <v>4</v>
      </c>
      <c r="L101" s="4">
        <v>1</v>
      </c>
      <c r="M101" s="5">
        <v>30</v>
      </c>
      <c r="N101">
        <f>L101*M101</f>
        <v>30</v>
      </c>
      <c r="O101" s="15">
        <f>N101*$R$3</f>
        <v>0.44999999999999996</v>
      </c>
    </row>
    <row r="102" spans="1:15">
      <c r="A102" s="2">
        <v>101</v>
      </c>
      <c r="B102" s="4">
        <f>YEAR(F102)</f>
        <v>2023</v>
      </c>
      <c r="C102" s="4">
        <f>MONTH(F102)</f>
        <v>1</v>
      </c>
      <c r="D102" s="4">
        <f>DAY(F102)</f>
        <v>29</v>
      </c>
      <c r="E102" s="4" t="str">
        <f t="shared" si="1"/>
        <v>Sunday</v>
      </c>
      <c r="F102" s="3">
        <v>44955</v>
      </c>
      <c r="G102" s="4" t="s">
        <v>133</v>
      </c>
      <c r="H102" s="4" t="s">
        <v>8</v>
      </c>
      <c r="I102" s="4">
        <v>32</v>
      </c>
      <c r="J102" s="4" t="str" cm="1">
        <f t="array" ref="J102">_xlfn.IFS(I102&lt;30,"Young Adult", I102&lt;50,"Adult",I102 &gt;=50,"Seniors")</f>
        <v>Adult</v>
      </c>
      <c r="K102" s="4" t="s">
        <v>3</v>
      </c>
      <c r="L102" s="4">
        <v>2</v>
      </c>
      <c r="M102" s="5">
        <v>300</v>
      </c>
      <c r="N102">
        <f>L102*M102</f>
        <v>600</v>
      </c>
      <c r="O102" s="15">
        <f>N102*$R$3</f>
        <v>9</v>
      </c>
    </row>
    <row r="103" spans="1:15">
      <c r="A103" s="2">
        <v>102</v>
      </c>
      <c r="B103" s="4">
        <f>YEAR(F103)</f>
        <v>2023</v>
      </c>
      <c r="C103" s="4">
        <f>MONTH(F103)</f>
        <v>4</v>
      </c>
      <c r="D103" s="4">
        <f>DAY(F103)</f>
        <v>28</v>
      </c>
      <c r="E103" s="4" t="str">
        <f t="shared" si="1"/>
        <v>Friday</v>
      </c>
      <c r="F103" s="3">
        <v>45044</v>
      </c>
      <c r="G103" s="4" t="s">
        <v>134</v>
      </c>
      <c r="H103" s="4" t="s">
        <v>7</v>
      </c>
      <c r="I103" s="4">
        <v>47</v>
      </c>
      <c r="J103" s="4" t="str" cm="1">
        <f t="array" ref="J103">_xlfn.IFS(I103&lt;30,"Young Adult", I103&lt;50,"Adult",I103 &gt;=50,"Seniors")</f>
        <v>Adult</v>
      </c>
      <c r="K103" s="4" t="s">
        <v>2</v>
      </c>
      <c r="L103" s="4">
        <v>2</v>
      </c>
      <c r="M103" s="5">
        <v>25</v>
      </c>
      <c r="N103">
        <f>L103*M103</f>
        <v>50</v>
      </c>
      <c r="O103" s="15">
        <f>N103*$R$3</f>
        <v>0.75</v>
      </c>
    </row>
    <row r="104" spans="1:15">
      <c r="A104" s="2">
        <v>103</v>
      </c>
      <c r="B104" s="4">
        <f>YEAR(F104)</f>
        <v>2023</v>
      </c>
      <c r="C104" s="4">
        <f>MONTH(F104)</f>
        <v>1</v>
      </c>
      <c r="D104" s="4">
        <f>DAY(F104)</f>
        <v>17</v>
      </c>
      <c r="E104" s="4" t="str">
        <f t="shared" si="1"/>
        <v>Tuesday</v>
      </c>
      <c r="F104" s="3">
        <v>44943</v>
      </c>
      <c r="G104" s="4" t="s">
        <v>135</v>
      </c>
      <c r="H104" s="4" t="s">
        <v>7</v>
      </c>
      <c r="I104" s="4">
        <v>59</v>
      </c>
      <c r="J104" s="4" t="str" cm="1">
        <f t="array" ref="J104">_xlfn.IFS(I104&lt;30,"Young Adult", I104&lt;50,"Adult",I104 &gt;=50,"Seniors")</f>
        <v>Seniors</v>
      </c>
      <c r="K104" s="4" t="s">
        <v>3</v>
      </c>
      <c r="L104" s="4">
        <v>1</v>
      </c>
      <c r="M104" s="5">
        <v>25</v>
      </c>
      <c r="N104">
        <f>L104*M104</f>
        <v>25</v>
      </c>
      <c r="O104" s="15">
        <f>N104*$R$3</f>
        <v>0.375</v>
      </c>
    </row>
    <row r="105" spans="1:15">
      <c r="A105" s="2">
        <v>104</v>
      </c>
      <c r="B105" s="4">
        <f>YEAR(F105)</f>
        <v>2023</v>
      </c>
      <c r="C105" s="4">
        <f>MONTH(F105)</f>
        <v>6</v>
      </c>
      <c r="D105" s="4">
        <f>DAY(F105)</f>
        <v>11</v>
      </c>
      <c r="E105" s="4" t="str">
        <f t="shared" si="1"/>
        <v>Sunday</v>
      </c>
      <c r="F105" s="3">
        <v>45088</v>
      </c>
      <c r="G105" s="4" t="s">
        <v>136</v>
      </c>
      <c r="H105" s="4" t="s">
        <v>7</v>
      </c>
      <c r="I105" s="4">
        <v>34</v>
      </c>
      <c r="J105" s="4" t="str" cm="1">
        <f t="array" ref="J105">_xlfn.IFS(I105&lt;30,"Young Adult", I105&lt;50,"Adult",I105 &gt;=50,"Seniors")</f>
        <v>Adult</v>
      </c>
      <c r="K105" s="4" t="s">
        <v>2</v>
      </c>
      <c r="L105" s="4">
        <v>2</v>
      </c>
      <c r="M105" s="5">
        <v>500</v>
      </c>
      <c r="N105">
        <f>L105*M105</f>
        <v>1000</v>
      </c>
      <c r="O105" s="15">
        <f>N105*$R$3</f>
        <v>15</v>
      </c>
    </row>
    <row r="106" spans="1:15">
      <c r="A106" s="2">
        <v>105</v>
      </c>
      <c r="B106" s="4">
        <f>YEAR(F106)</f>
        <v>2023</v>
      </c>
      <c r="C106" s="4">
        <f>MONTH(F106)</f>
        <v>7</v>
      </c>
      <c r="D106" s="4">
        <f>DAY(F106)</f>
        <v>25</v>
      </c>
      <c r="E106" s="4" t="str">
        <f t="shared" si="1"/>
        <v>Tuesday</v>
      </c>
      <c r="F106" s="3">
        <v>45132</v>
      </c>
      <c r="G106" s="4" t="s">
        <v>137</v>
      </c>
      <c r="H106" s="4" t="s">
        <v>7</v>
      </c>
      <c r="I106" s="4">
        <v>22</v>
      </c>
      <c r="J106" s="4" t="str" cm="1">
        <f t="array" ref="J106">_xlfn.IFS(I106&lt;30,"Young Adult", I106&lt;50,"Adult",I106 &gt;=50,"Seniors")</f>
        <v>Young Adult</v>
      </c>
      <c r="K106" s="4" t="s">
        <v>4</v>
      </c>
      <c r="L106" s="4">
        <v>1</v>
      </c>
      <c r="M106" s="5">
        <v>500</v>
      </c>
      <c r="N106">
        <f>L106*M106</f>
        <v>500</v>
      </c>
      <c r="O106" s="15">
        <f>N106*$R$3</f>
        <v>7.5</v>
      </c>
    </row>
    <row r="107" spans="1:15">
      <c r="A107" s="2">
        <v>106</v>
      </c>
      <c r="B107" s="4">
        <f>YEAR(F107)</f>
        <v>2023</v>
      </c>
      <c r="C107" s="4">
        <f>MONTH(F107)</f>
        <v>5</v>
      </c>
      <c r="D107" s="4">
        <f>DAY(F107)</f>
        <v>18</v>
      </c>
      <c r="E107" s="4" t="str">
        <f t="shared" si="1"/>
        <v>Thursday</v>
      </c>
      <c r="F107" s="3">
        <v>45064</v>
      </c>
      <c r="G107" s="4" t="s">
        <v>138</v>
      </c>
      <c r="H107" s="4" t="s">
        <v>7</v>
      </c>
      <c r="I107" s="4">
        <v>46</v>
      </c>
      <c r="J107" s="4" t="str" cm="1">
        <f t="array" ref="J107">_xlfn.IFS(I107&lt;30,"Young Adult", I107&lt;50,"Adult",I107 &gt;=50,"Seniors")</f>
        <v>Adult</v>
      </c>
      <c r="K107" s="4" t="s">
        <v>3</v>
      </c>
      <c r="L107" s="4">
        <v>1</v>
      </c>
      <c r="M107" s="5">
        <v>50</v>
      </c>
      <c r="N107">
        <f>L107*M107</f>
        <v>50</v>
      </c>
      <c r="O107" s="15">
        <f>N107*$R$3</f>
        <v>0.75</v>
      </c>
    </row>
    <row r="108" spans="1:15">
      <c r="A108" s="2">
        <v>107</v>
      </c>
      <c r="B108" s="4">
        <f>YEAR(F108)</f>
        <v>2023</v>
      </c>
      <c r="C108" s="4">
        <f>MONTH(F108)</f>
        <v>2</v>
      </c>
      <c r="D108" s="4">
        <f>DAY(F108)</f>
        <v>3</v>
      </c>
      <c r="E108" s="4" t="str">
        <f t="shared" si="1"/>
        <v>Friday</v>
      </c>
      <c r="F108" s="3">
        <v>44960</v>
      </c>
      <c r="G108" s="4" t="s">
        <v>139</v>
      </c>
      <c r="H108" s="4" t="s">
        <v>7</v>
      </c>
      <c r="I108" s="4">
        <v>21</v>
      </c>
      <c r="J108" s="4" t="str" cm="1">
        <f t="array" ref="J108">_xlfn.IFS(I108&lt;30,"Young Adult", I108&lt;50,"Adult",I108 &gt;=50,"Seniors")</f>
        <v>Young Adult</v>
      </c>
      <c r="K108" s="4" t="s">
        <v>3</v>
      </c>
      <c r="L108" s="4">
        <v>4</v>
      </c>
      <c r="M108" s="5">
        <v>300</v>
      </c>
      <c r="N108">
        <f>L108*M108</f>
        <v>1200</v>
      </c>
      <c r="O108" s="15">
        <f>N108*$R$3</f>
        <v>18</v>
      </c>
    </row>
    <row r="109" spans="1:15">
      <c r="A109" s="2">
        <v>108</v>
      </c>
      <c r="B109" s="4">
        <f>YEAR(F109)</f>
        <v>2023</v>
      </c>
      <c r="C109" s="4">
        <f>MONTH(F109)</f>
        <v>4</v>
      </c>
      <c r="D109" s="4">
        <f>DAY(F109)</f>
        <v>19</v>
      </c>
      <c r="E109" s="4" t="str">
        <f t="shared" si="1"/>
        <v>Wednesday</v>
      </c>
      <c r="F109" s="3">
        <v>45035</v>
      </c>
      <c r="G109" s="4" t="s">
        <v>140</v>
      </c>
      <c r="H109" s="4" t="s">
        <v>7</v>
      </c>
      <c r="I109" s="4">
        <v>27</v>
      </c>
      <c r="J109" s="4" t="str" cm="1">
        <f t="array" ref="J109">_xlfn.IFS(I109&lt;30,"Young Adult", I109&lt;50,"Adult",I109 &gt;=50,"Seniors")</f>
        <v>Young Adult</v>
      </c>
      <c r="K109" s="4" t="s">
        <v>2</v>
      </c>
      <c r="L109" s="4">
        <v>3</v>
      </c>
      <c r="M109" s="5">
        <v>25</v>
      </c>
      <c r="N109">
        <f>L109*M109</f>
        <v>75</v>
      </c>
      <c r="O109" s="15">
        <f>N109*$R$3</f>
        <v>1.125</v>
      </c>
    </row>
    <row r="110" spans="1:15">
      <c r="A110" s="2">
        <v>109</v>
      </c>
      <c r="B110" s="4">
        <f>YEAR(F110)</f>
        <v>2023</v>
      </c>
      <c r="C110" s="4">
        <f>MONTH(F110)</f>
        <v>10</v>
      </c>
      <c r="D110" s="4">
        <f>DAY(F110)</f>
        <v>18</v>
      </c>
      <c r="E110" s="4" t="str">
        <f t="shared" si="1"/>
        <v>Wednesday</v>
      </c>
      <c r="F110" s="3">
        <v>45217</v>
      </c>
      <c r="G110" s="4" t="s">
        <v>141</v>
      </c>
      <c r="H110" s="4" t="s">
        <v>7</v>
      </c>
      <c r="I110" s="4">
        <v>34</v>
      </c>
      <c r="J110" s="4" t="str" cm="1">
        <f t="array" ref="J110">_xlfn.IFS(I110&lt;30,"Young Adult", I110&lt;50,"Adult",I110 &gt;=50,"Seniors")</f>
        <v>Adult</v>
      </c>
      <c r="K110" s="4" t="s">
        <v>4</v>
      </c>
      <c r="L110" s="4">
        <v>4</v>
      </c>
      <c r="M110" s="5">
        <v>500</v>
      </c>
      <c r="N110">
        <f>L110*M110</f>
        <v>2000</v>
      </c>
      <c r="O110" s="15">
        <f>N110*$R$3</f>
        <v>30</v>
      </c>
    </row>
    <row r="111" spans="1:15">
      <c r="A111" s="2">
        <v>110</v>
      </c>
      <c r="B111" s="4">
        <f>YEAR(F111)</f>
        <v>2023</v>
      </c>
      <c r="C111" s="4">
        <f>MONTH(F111)</f>
        <v>6</v>
      </c>
      <c r="D111" s="4">
        <f>DAY(F111)</f>
        <v>11</v>
      </c>
      <c r="E111" s="4" t="str">
        <f t="shared" si="1"/>
        <v>Sunday</v>
      </c>
      <c r="F111" s="3">
        <v>45088</v>
      </c>
      <c r="G111" s="4" t="s">
        <v>142</v>
      </c>
      <c r="H111" s="4" t="s">
        <v>8</v>
      </c>
      <c r="I111" s="4">
        <v>27</v>
      </c>
      <c r="J111" s="4" t="str" cm="1">
        <f t="array" ref="J111">_xlfn.IFS(I111&lt;30,"Young Adult", I111&lt;50,"Adult",I111 &gt;=50,"Seniors")</f>
        <v>Young Adult</v>
      </c>
      <c r="K111" s="4" t="s">
        <v>3</v>
      </c>
      <c r="L111" s="4">
        <v>3</v>
      </c>
      <c r="M111" s="5">
        <v>300</v>
      </c>
      <c r="N111">
        <f>L111*M111</f>
        <v>900</v>
      </c>
      <c r="O111" s="15">
        <f>N111*$R$3</f>
        <v>13.5</v>
      </c>
    </row>
    <row r="112" spans="1:15">
      <c r="A112" s="2">
        <v>111</v>
      </c>
      <c r="B112" s="4">
        <f>YEAR(F112)</f>
        <v>2023</v>
      </c>
      <c r="C112" s="4">
        <f>MONTH(F112)</f>
        <v>4</v>
      </c>
      <c r="D112" s="4">
        <f>DAY(F112)</f>
        <v>19</v>
      </c>
      <c r="E112" s="4" t="str">
        <f t="shared" si="1"/>
        <v>Wednesday</v>
      </c>
      <c r="F112" s="3">
        <v>45035</v>
      </c>
      <c r="G112" s="4" t="s">
        <v>143</v>
      </c>
      <c r="H112" s="4" t="s">
        <v>7</v>
      </c>
      <c r="I112" s="4">
        <v>34</v>
      </c>
      <c r="J112" s="4" t="str" cm="1">
        <f t="array" ref="J112">_xlfn.IFS(I112&lt;30,"Young Adult", I112&lt;50,"Adult",I112 &gt;=50,"Seniors")</f>
        <v>Adult</v>
      </c>
      <c r="K112" s="4" t="s">
        <v>4</v>
      </c>
      <c r="L112" s="4">
        <v>3</v>
      </c>
      <c r="M112" s="5">
        <v>500</v>
      </c>
      <c r="N112">
        <f>L112*M112</f>
        <v>1500</v>
      </c>
      <c r="O112" s="15">
        <f>N112*$R$3</f>
        <v>22.5</v>
      </c>
    </row>
    <row r="113" spans="1:15">
      <c r="A113" s="2">
        <v>112</v>
      </c>
      <c r="B113" s="4">
        <f>YEAR(F113)</f>
        <v>2023</v>
      </c>
      <c r="C113" s="4">
        <f>MONTH(F113)</f>
        <v>12</v>
      </c>
      <c r="D113" s="4">
        <f>DAY(F113)</f>
        <v>2</v>
      </c>
      <c r="E113" s="4" t="str">
        <f t="shared" si="1"/>
        <v>Saturday</v>
      </c>
      <c r="F113" s="3">
        <v>45262</v>
      </c>
      <c r="G113" s="4" t="s">
        <v>144</v>
      </c>
      <c r="H113" s="4" t="s">
        <v>8</v>
      </c>
      <c r="I113" s="4">
        <v>37</v>
      </c>
      <c r="J113" s="4" t="str" cm="1">
        <f t="array" ref="J113">_xlfn.IFS(I113&lt;30,"Young Adult", I113&lt;50,"Adult",I113 &gt;=50,"Seniors")</f>
        <v>Adult</v>
      </c>
      <c r="K113" s="4" t="s">
        <v>3</v>
      </c>
      <c r="L113" s="4">
        <v>3</v>
      </c>
      <c r="M113" s="5">
        <v>500</v>
      </c>
      <c r="N113">
        <f>L113*M113</f>
        <v>1500</v>
      </c>
      <c r="O113" s="15">
        <f>N113*$R$3</f>
        <v>22.5</v>
      </c>
    </row>
    <row r="114" spans="1:15">
      <c r="A114" s="2">
        <v>113</v>
      </c>
      <c r="B114" s="4">
        <f>YEAR(F114)</f>
        <v>2023</v>
      </c>
      <c r="C114" s="4">
        <f>MONTH(F114)</f>
        <v>9</v>
      </c>
      <c r="D114" s="4">
        <f>DAY(F114)</f>
        <v>13</v>
      </c>
      <c r="E114" s="4" t="str">
        <f t="shared" si="1"/>
        <v>Wednesday</v>
      </c>
      <c r="F114" s="3">
        <v>45182</v>
      </c>
      <c r="G114" s="4" t="s">
        <v>145</v>
      </c>
      <c r="H114" s="4" t="s">
        <v>7</v>
      </c>
      <c r="I114" s="4">
        <v>41</v>
      </c>
      <c r="J114" s="4" t="str" cm="1">
        <f t="array" ref="J114">_xlfn.IFS(I114&lt;30,"Young Adult", I114&lt;50,"Adult",I114 &gt;=50,"Seniors")</f>
        <v>Adult</v>
      </c>
      <c r="K114" s="4" t="s">
        <v>4</v>
      </c>
      <c r="L114" s="4">
        <v>2</v>
      </c>
      <c r="M114" s="5">
        <v>25</v>
      </c>
      <c r="N114">
        <f>L114*M114</f>
        <v>50</v>
      </c>
      <c r="O114" s="15">
        <f>N114*$R$3</f>
        <v>0.75</v>
      </c>
    </row>
    <row r="115" spans="1:15">
      <c r="A115" s="2">
        <v>114</v>
      </c>
      <c r="B115" s="4">
        <f>YEAR(F115)</f>
        <v>2023</v>
      </c>
      <c r="C115" s="4">
        <f>MONTH(F115)</f>
        <v>7</v>
      </c>
      <c r="D115" s="4">
        <f>DAY(F115)</f>
        <v>22</v>
      </c>
      <c r="E115" s="4" t="str">
        <f t="shared" si="1"/>
        <v>Saturday</v>
      </c>
      <c r="F115" s="3">
        <v>45129</v>
      </c>
      <c r="G115" s="4" t="s">
        <v>146</v>
      </c>
      <c r="H115" s="4" t="s">
        <v>7</v>
      </c>
      <c r="I115" s="4">
        <v>22</v>
      </c>
      <c r="J115" s="4" t="str" cm="1">
        <f t="array" ref="J115">_xlfn.IFS(I115&lt;30,"Young Adult", I115&lt;50,"Adult",I115 &gt;=50,"Seniors")</f>
        <v>Young Adult</v>
      </c>
      <c r="K115" s="4" t="s">
        <v>2</v>
      </c>
      <c r="L115" s="4">
        <v>4</v>
      </c>
      <c r="M115" s="5">
        <v>25</v>
      </c>
      <c r="N115">
        <f>L115*M115</f>
        <v>100</v>
      </c>
      <c r="O115" s="15">
        <f>N115*$R$3</f>
        <v>1.5</v>
      </c>
    </row>
    <row r="116" spans="1:15">
      <c r="A116" s="2">
        <v>115</v>
      </c>
      <c r="B116" s="4">
        <f>YEAR(F116)</f>
        <v>2023</v>
      </c>
      <c r="C116" s="4">
        <f>MONTH(F116)</f>
        <v>11</v>
      </c>
      <c r="D116" s="4">
        <f>DAY(F116)</f>
        <v>26</v>
      </c>
      <c r="E116" s="4" t="str">
        <f t="shared" si="1"/>
        <v>Sunday</v>
      </c>
      <c r="F116" s="3">
        <v>45256</v>
      </c>
      <c r="G116" s="4" t="s">
        <v>147</v>
      </c>
      <c r="H116" s="4" t="s">
        <v>8</v>
      </c>
      <c r="I116" s="4">
        <v>51</v>
      </c>
      <c r="J116" s="4" t="str" cm="1">
        <f t="array" ref="J116">_xlfn.IFS(I116&lt;30,"Young Adult", I116&lt;50,"Adult",I116 &gt;=50,"Seniors")</f>
        <v>Seniors</v>
      </c>
      <c r="K116" s="4" t="s">
        <v>3</v>
      </c>
      <c r="L116" s="4">
        <v>3</v>
      </c>
      <c r="M116" s="5">
        <v>500</v>
      </c>
      <c r="N116">
        <f>L116*M116</f>
        <v>1500</v>
      </c>
      <c r="O116" s="15">
        <f>N116*$R$3</f>
        <v>22.5</v>
      </c>
    </row>
    <row r="117" spans="1:15">
      <c r="A117" s="2">
        <v>116</v>
      </c>
      <c r="B117" s="4">
        <f>YEAR(F117)</f>
        <v>2023</v>
      </c>
      <c r="C117" s="4">
        <f>MONTH(F117)</f>
        <v>8</v>
      </c>
      <c r="D117" s="4">
        <f>DAY(F117)</f>
        <v>23</v>
      </c>
      <c r="E117" s="4" t="str">
        <f t="shared" si="1"/>
        <v>Wednesday</v>
      </c>
      <c r="F117" s="3">
        <v>45161</v>
      </c>
      <c r="G117" s="4" t="s">
        <v>148</v>
      </c>
      <c r="H117" s="4" t="s">
        <v>7</v>
      </c>
      <c r="I117" s="4">
        <v>23</v>
      </c>
      <c r="J117" s="4" t="str" cm="1">
        <f t="array" ref="J117">_xlfn.IFS(I117&lt;30,"Young Adult", I117&lt;50,"Adult",I117 &gt;=50,"Seniors")</f>
        <v>Young Adult</v>
      </c>
      <c r="K117" s="4" t="s">
        <v>3</v>
      </c>
      <c r="L117" s="4">
        <v>1</v>
      </c>
      <c r="M117" s="5">
        <v>30</v>
      </c>
      <c r="N117">
        <f>L117*M117</f>
        <v>30</v>
      </c>
      <c r="O117" s="15">
        <f>N117*$R$3</f>
        <v>0.44999999999999996</v>
      </c>
    </row>
    <row r="118" spans="1:15">
      <c r="A118" s="2">
        <v>117</v>
      </c>
      <c r="B118" s="4">
        <f>YEAR(F118)</f>
        <v>2023</v>
      </c>
      <c r="C118" s="4">
        <f>MONTH(F118)</f>
        <v>3</v>
      </c>
      <c r="D118" s="4">
        <f>DAY(F118)</f>
        <v>15</v>
      </c>
      <c r="E118" s="4" t="str">
        <f t="shared" si="1"/>
        <v>Wednesday</v>
      </c>
      <c r="F118" s="3">
        <v>45000</v>
      </c>
      <c r="G118" s="4" t="s">
        <v>149</v>
      </c>
      <c r="H118" s="4" t="s">
        <v>8</v>
      </c>
      <c r="I118" s="4">
        <v>19</v>
      </c>
      <c r="J118" s="4" t="str" cm="1">
        <f t="array" ref="J118">_xlfn.IFS(I118&lt;30,"Young Adult", I118&lt;50,"Adult",I118 &gt;=50,"Seniors")</f>
        <v>Young Adult</v>
      </c>
      <c r="K118" s="4" t="s">
        <v>4</v>
      </c>
      <c r="L118" s="4">
        <v>2</v>
      </c>
      <c r="M118" s="5">
        <v>500</v>
      </c>
      <c r="N118">
        <f>L118*M118</f>
        <v>1000</v>
      </c>
      <c r="O118" s="15">
        <f>N118*$R$3</f>
        <v>15</v>
      </c>
    </row>
    <row r="119" spans="1:15">
      <c r="A119" s="2">
        <v>118</v>
      </c>
      <c r="B119" s="4">
        <f>YEAR(F119)</f>
        <v>2023</v>
      </c>
      <c r="C119" s="4">
        <f>MONTH(F119)</f>
        <v>5</v>
      </c>
      <c r="D119" s="4">
        <f>DAY(F119)</f>
        <v>16</v>
      </c>
      <c r="E119" s="4" t="str">
        <f t="shared" si="1"/>
        <v>Tuesday</v>
      </c>
      <c r="F119" s="3">
        <v>45062</v>
      </c>
      <c r="G119" s="4" t="s">
        <v>150</v>
      </c>
      <c r="H119" s="4" t="s">
        <v>7</v>
      </c>
      <c r="I119" s="4">
        <v>30</v>
      </c>
      <c r="J119" s="4" t="str" cm="1">
        <f t="array" ref="J119">_xlfn.IFS(I119&lt;30,"Young Adult", I119&lt;50,"Adult",I119 &gt;=50,"Seniors")</f>
        <v>Adult</v>
      </c>
      <c r="K119" s="4" t="s">
        <v>4</v>
      </c>
      <c r="L119" s="4">
        <v>4</v>
      </c>
      <c r="M119" s="5">
        <v>500</v>
      </c>
      <c r="N119">
        <f>L119*M119</f>
        <v>2000</v>
      </c>
      <c r="O119" s="15">
        <f>N119*$R$3</f>
        <v>30</v>
      </c>
    </row>
    <row r="120" spans="1:15">
      <c r="A120" s="2">
        <v>119</v>
      </c>
      <c r="B120" s="4">
        <f>YEAR(F120)</f>
        <v>2023</v>
      </c>
      <c r="C120" s="4">
        <f>MONTH(F120)</f>
        <v>3</v>
      </c>
      <c r="D120" s="4">
        <f>DAY(F120)</f>
        <v>13</v>
      </c>
      <c r="E120" s="4" t="str">
        <f t="shared" si="1"/>
        <v>Monday</v>
      </c>
      <c r="F120" s="3">
        <v>44998</v>
      </c>
      <c r="G120" s="4" t="s">
        <v>151</v>
      </c>
      <c r="H120" s="4" t="s">
        <v>7</v>
      </c>
      <c r="I120" s="4">
        <v>60</v>
      </c>
      <c r="J120" s="4" t="str" cm="1">
        <f t="array" ref="J120">_xlfn.IFS(I120&lt;30,"Young Adult", I120&lt;50,"Adult",I120 &gt;=50,"Seniors")</f>
        <v>Seniors</v>
      </c>
      <c r="K120" s="4" t="s">
        <v>3</v>
      </c>
      <c r="L120" s="4">
        <v>3</v>
      </c>
      <c r="M120" s="5">
        <v>50</v>
      </c>
      <c r="N120">
        <f>L120*M120</f>
        <v>150</v>
      </c>
      <c r="O120" s="15">
        <f>N120*$R$3</f>
        <v>2.25</v>
      </c>
    </row>
    <row r="121" spans="1:15">
      <c r="A121" s="2">
        <v>120</v>
      </c>
      <c r="B121" s="4">
        <f>YEAR(F121)</f>
        <v>2023</v>
      </c>
      <c r="C121" s="4">
        <f>MONTH(F121)</f>
        <v>5</v>
      </c>
      <c r="D121" s="4">
        <f>DAY(F121)</f>
        <v>7</v>
      </c>
      <c r="E121" s="4" t="str">
        <f t="shared" si="1"/>
        <v>Sunday</v>
      </c>
      <c r="F121" s="3">
        <v>45053</v>
      </c>
      <c r="G121" s="4" t="s">
        <v>152</v>
      </c>
      <c r="H121" s="4" t="s">
        <v>8</v>
      </c>
      <c r="I121" s="4">
        <v>60</v>
      </c>
      <c r="J121" s="4" t="str" cm="1">
        <f t="array" ref="J121">_xlfn.IFS(I121&lt;30,"Young Adult", I121&lt;50,"Adult",I121 &gt;=50,"Seniors")</f>
        <v>Seniors</v>
      </c>
      <c r="K121" s="4" t="s">
        <v>2</v>
      </c>
      <c r="L121" s="4">
        <v>1</v>
      </c>
      <c r="M121" s="5">
        <v>50</v>
      </c>
      <c r="N121">
        <f>L121*M121</f>
        <v>50</v>
      </c>
      <c r="O121" s="15">
        <f>N121*$R$3</f>
        <v>0.75</v>
      </c>
    </row>
    <row r="122" spans="1:15">
      <c r="A122" s="2">
        <v>121</v>
      </c>
      <c r="B122" s="4">
        <f>YEAR(F122)</f>
        <v>2023</v>
      </c>
      <c r="C122" s="4">
        <f>MONTH(F122)</f>
        <v>10</v>
      </c>
      <c r="D122" s="4">
        <f>DAY(F122)</f>
        <v>15</v>
      </c>
      <c r="E122" s="4" t="str">
        <f t="shared" si="1"/>
        <v>Sunday</v>
      </c>
      <c r="F122" s="3">
        <v>45214</v>
      </c>
      <c r="G122" s="4" t="s">
        <v>153</v>
      </c>
      <c r="H122" s="4" t="s">
        <v>7</v>
      </c>
      <c r="I122" s="4">
        <v>28</v>
      </c>
      <c r="J122" s="4" t="str" cm="1">
        <f t="array" ref="J122">_xlfn.IFS(I122&lt;30,"Young Adult", I122&lt;50,"Adult",I122 &gt;=50,"Seniors")</f>
        <v>Young Adult</v>
      </c>
      <c r="K122" s="4" t="s">
        <v>4</v>
      </c>
      <c r="L122" s="4">
        <v>4</v>
      </c>
      <c r="M122" s="5">
        <v>50</v>
      </c>
      <c r="N122">
        <f>L122*M122</f>
        <v>200</v>
      </c>
      <c r="O122" s="15">
        <f>N122*$R$3</f>
        <v>3</v>
      </c>
    </row>
    <row r="123" spans="1:15">
      <c r="A123" s="2">
        <v>122</v>
      </c>
      <c r="B123" s="4">
        <f>YEAR(F123)</f>
        <v>2023</v>
      </c>
      <c r="C123" s="4">
        <f>MONTH(F123)</f>
        <v>10</v>
      </c>
      <c r="D123" s="4">
        <f>DAY(F123)</f>
        <v>3</v>
      </c>
      <c r="E123" s="4" t="str">
        <f t="shared" si="1"/>
        <v>Tuesday</v>
      </c>
      <c r="F123" s="3">
        <v>45202</v>
      </c>
      <c r="G123" s="4" t="s">
        <v>154</v>
      </c>
      <c r="H123" s="4" t="s">
        <v>8</v>
      </c>
      <c r="I123" s="4">
        <v>64</v>
      </c>
      <c r="J123" s="4" t="str" cm="1">
        <f t="array" ref="J123">_xlfn.IFS(I123&lt;30,"Young Adult", I123&lt;50,"Adult",I123 &gt;=50,"Seniors")</f>
        <v>Seniors</v>
      </c>
      <c r="K123" s="4" t="s">
        <v>4</v>
      </c>
      <c r="L123" s="4">
        <v>4</v>
      </c>
      <c r="M123" s="5">
        <v>30</v>
      </c>
      <c r="N123">
        <f>L123*M123</f>
        <v>120</v>
      </c>
      <c r="O123" s="15">
        <f>N123*$R$3</f>
        <v>1.7999999999999998</v>
      </c>
    </row>
    <row r="124" spans="1:15">
      <c r="A124" s="2">
        <v>123</v>
      </c>
      <c r="B124" s="4">
        <f>YEAR(F124)</f>
        <v>2023</v>
      </c>
      <c r="C124" s="4">
        <f>MONTH(F124)</f>
        <v>5</v>
      </c>
      <c r="D124" s="4">
        <f>DAY(F124)</f>
        <v>15</v>
      </c>
      <c r="E124" s="4" t="str">
        <f t="shared" si="1"/>
        <v>Monday</v>
      </c>
      <c r="F124" s="3">
        <v>45061</v>
      </c>
      <c r="G124" s="4" t="s">
        <v>155</v>
      </c>
      <c r="H124" s="4" t="s">
        <v>7</v>
      </c>
      <c r="I124" s="4">
        <v>40</v>
      </c>
      <c r="J124" s="4" t="str" cm="1">
        <f t="array" ref="J124">_xlfn.IFS(I124&lt;30,"Young Adult", I124&lt;50,"Adult",I124 &gt;=50,"Seniors")</f>
        <v>Adult</v>
      </c>
      <c r="K124" s="4" t="s">
        <v>4</v>
      </c>
      <c r="L124" s="4">
        <v>2</v>
      </c>
      <c r="M124" s="5">
        <v>30</v>
      </c>
      <c r="N124">
        <f>L124*M124</f>
        <v>60</v>
      </c>
      <c r="O124" s="15">
        <f>N124*$R$3</f>
        <v>0.89999999999999991</v>
      </c>
    </row>
    <row r="125" spans="1:15">
      <c r="A125" s="2">
        <v>124</v>
      </c>
      <c r="B125" s="4">
        <f>YEAR(F125)</f>
        <v>2023</v>
      </c>
      <c r="C125" s="4">
        <f>MONTH(F125)</f>
        <v>10</v>
      </c>
      <c r="D125" s="4">
        <f>DAY(F125)</f>
        <v>27</v>
      </c>
      <c r="E125" s="4" t="str">
        <f t="shared" si="1"/>
        <v>Friday</v>
      </c>
      <c r="F125" s="3">
        <v>45226</v>
      </c>
      <c r="G125" s="4" t="s">
        <v>156</v>
      </c>
      <c r="H125" s="4" t="s">
        <v>8</v>
      </c>
      <c r="I125" s="4">
        <v>33</v>
      </c>
      <c r="J125" s="4" t="str" cm="1">
        <f t="array" ref="J125">_xlfn.IFS(I125&lt;30,"Young Adult", I125&lt;50,"Adult",I125 &gt;=50,"Seniors")</f>
        <v>Adult</v>
      </c>
      <c r="K125" s="4" t="s">
        <v>3</v>
      </c>
      <c r="L125" s="4">
        <v>4</v>
      </c>
      <c r="M125" s="5">
        <v>500</v>
      </c>
      <c r="N125">
        <f>L125*M125</f>
        <v>2000</v>
      </c>
      <c r="O125" s="15">
        <f>N125*$R$3</f>
        <v>30</v>
      </c>
    </row>
    <row r="126" spans="1:15">
      <c r="A126" s="2">
        <v>125</v>
      </c>
      <c r="B126" s="4">
        <f>YEAR(F126)</f>
        <v>2023</v>
      </c>
      <c r="C126" s="4">
        <f>MONTH(F126)</f>
        <v>8</v>
      </c>
      <c r="D126" s="4">
        <f>DAY(F126)</f>
        <v>8</v>
      </c>
      <c r="E126" s="4" t="str">
        <f t="shared" si="1"/>
        <v>Tuesday</v>
      </c>
      <c r="F126" s="3">
        <v>45146</v>
      </c>
      <c r="G126" s="4" t="s">
        <v>157</v>
      </c>
      <c r="H126" s="4" t="s">
        <v>8</v>
      </c>
      <c r="I126" s="4">
        <v>48</v>
      </c>
      <c r="J126" s="4" t="str" cm="1">
        <f t="array" ref="J126">_xlfn.IFS(I126&lt;30,"Young Adult", I126&lt;50,"Adult",I126 &gt;=50,"Seniors")</f>
        <v>Adult</v>
      </c>
      <c r="K126" s="4" t="s">
        <v>3</v>
      </c>
      <c r="L126" s="4">
        <v>2</v>
      </c>
      <c r="M126" s="5">
        <v>50</v>
      </c>
      <c r="N126">
        <f>L126*M126</f>
        <v>100</v>
      </c>
      <c r="O126" s="15">
        <f>N126*$R$3</f>
        <v>1.5</v>
      </c>
    </row>
    <row r="127" spans="1:15">
      <c r="A127" s="2">
        <v>126</v>
      </c>
      <c r="B127" s="4">
        <f>YEAR(F127)</f>
        <v>2023</v>
      </c>
      <c r="C127" s="4">
        <f>MONTH(F127)</f>
        <v>10</v>
      </c>
      <c r="D127" s="4">
        <f>DAY(F127)</f>
        <v>26</v>
      </c>
      <c r="E127" s="4" t="str">
        <f t="shared" si="1"/>
        <v>Thursday</v>
      </c>
      <c r="F127" s="3">
        <v>45225</v>
      </c>
      <c r="G127" s="4" t="s">
        <v>158</v>
      </c>
      <c r="H127" s="4" t="s">
        <v>7</v>
      </c>
      <c r="I127" s="4">
        <v>28</v>
      </c>
      <c r="J127" s="4" t="str" cm="1">
        <f t="array" ref="J127">_xlfn.IFS(I127&lt;30,"Young Adult", I127&lt;50,"Adult",I127 &gt;=50,"Seniors")</f>
        <v>Young Adult</v>
      </c>
      <c r="K127" s="4" t="s">
        <v>3</v>
      </c>
      <c r="L127" s="4">
        <v>3</v>
      </c>
      <c r="M127" s="5">
        <v>30</v>
      </c>
      <c r="N127">
        <f>L127*M127</f>
        <v>90</v>
      </c>
      <c r="O127" s="15">
        <f>N127*$R$3</f>
        <v>1.3499999999999999</v>
      </c>
    </row>
    <row r="128" spans="1:15">
      <c r="A128" s="2">
        <v>127</v>
      </c>
      <c r="B128" s="4">
        <f>YEAR(F128)</f>
        <v>2023</v>
      </c>
      <c r="C128" s="4">
        <f>MONTH(F128)</f>
        <v>7</v>
      </c>
      <c r="D128" s="4">
        <f>DAY(F128)</f>
        <v>24</v>
      </c>
      <c r="E128" s="4" t="str">
        <f t="shared" si="1"/>
        <v>Monday</v>
      </c>
      <c r="F128" s="3">
        <v>45131</v>
      </c>
      <c r="G128" s="4" t="s">
        <v>159</v>
      </c>
      <c r="H128" s="4" t="s">
        <v>7</v>
      </c>
      <c r="I128" s="4">
        <v>33</v>
      </c>
      <c r="J128" s="4" t="str" cm="1">
        <f t="array" ref="J128">_xlfn.IFS(I128&lt;30,"Young Adult", I128&lt;50,"Adult",I128 &gt;=50,"Seniors")</f>
        <v>Adult</v>
      </c>
      <c r="K128" s="4" t="s">
        <v>3</v>
      </c>
      <c r="L128" s="4">
        <v>2</v>
      </c>
      <c r="M128" s="5">
        <v>25</v>
      </c>
      <c r="N128">
        <f>L128*M128</f>
        <v>50</v>
      </c>
      <c r="O128" s="15">
        <f>N128*$R$3</f>
        <v>0.75</v>
      </c>
    </row>
    <row r="129" spans="1:15">
      <c r="A129" s="2">
        <v>128</v>
      </c>
      <c r="B129" s="4">
        <f>YEAR(F129)</f>
        <v>2023</v>
      </c>
      <c r="C129" s="4">
        <f>MONTH(F129)</f>
        <v>7</v>
      </c>
      <c r="D129" s="4">
        <f>DAY(F129)</f>
        <v>5</v>
      </c>
      <c r="E129" s="4" t="str">
        <f t="shared" si="1"/>
        <v>Wednesday</v>
      </c>
      <c r="F129" s="3">
        <v>45112</v>
      </c>
      <c r="G129" s="4" t="s">
        <v>160</v>
      </c>
      <c r="H129" s="4" t="s">
        <v>8</v>
      </c>
      <c r="I129" s="4">
        <v>25</v>
      </c>
      <c r="J129" s="4" t="str" cm="1">
        <f t="array" ref="J129">_xlfn.IFS(I129&lt;30,"Young Adult", I129&lt;50,"Adult",I129 &gt;=50,"Seniors")</f>
        <v>Young Adult</v>
      </c>
      <c r="K129" s="4" t="s">
        <v>2</v>
      </c>
      <c r="L129" s="4">
        <v>1</v>
      </c>
      <c r="M129" s="5">
        <v>500</v>
      </c>
      <c r="N129">
        <f>L129*M129</f>
        <v>500</v>
      </c>
      <c r="O129" s="15">
        <f>N129*$R$3</f>
        <v>7.5</v>
      </c>
    </row>
    <row r="130" spans="1:15">
      <c r="A130" s="2">
        <v>129</v>
      </c>
      <c r="B130" s="4">
        <f>YEAR(F130)</f>
        <v>2023</v>
      </c>
      <c r="C130" s="4">
        <f>MONTH(F130)</f>
        <v>4</v>
      </c>
      <c r="D130" s="4">
        <f>DAY(F130)</f>
        <v>23</v>
      </c>
      <c r="E130" s="4" t="str">
        <f t="shared" si="1"/>
        <v>Sunday</v>
      </c>
      <c r="F130" s="3">
        <v>45039</v>
      </c>
      <c r="G130" s="4" t="s">
        <v>161</v>
      </c>
      <c r="H130" s="4" t="s">
        <v>7</v>
      </c>
      <c r="I130" s="4">
        <v>21</v>
      </c>
      <c r="J130" s="4" t="str" cm="1">
        <f t="array" ref="J130">_xlfn.IFS(I130&lt;30,"Young Adult", I130&lt;50,"Adult",I130 &gt;=50,"Seniors")</f>
        <v>Young Adult</v>
      </c>
      <c r="K130" s="4" t="s">
        <v>2</v>
      </c>
      <c r="L130" s="4">
        <v>2</v>
      </c>
      <c r="M130" s="5">
        <v>300</v>
      </c>
      <c r="N130">
        <f>L130*M130</f>
        <v>600</v>
      </c>
      <c r="O130" s="15">
        <f>N130*$R$3</f>
        <v>9</v>
      </c>
    </row>
    <row r="131" spans="1:15">
      <c r="A131" s="2">
        <v>130</v>
      </c>
      <c r="B131" s="4">
        <f>YEAR(F131)</f>
        <v>2023</v>
      </c>
      <c r="C131" s="4">
        <f>MONTH(F131)</f>
        <v>3</v>
      </c>
      <c r="D131" s="4">
        <f>DAY(F131)</f>
        <v>12</v>
      </c>
      <c r="E131" s="4" t="str">
        <f t="shared" ref="E131:E194" si="2">TEXT(F131,"dddd")</f>
        <v>Sunday</v>
      </c>
      <c r="F131" s="3">
        <v>44997</v>
      </c>
      <c r="G131" s="4" t="s">
        <v>162</v>
      </c>
      <c r="H131" s="4" t="s">
        <v>7</v>
      </c>
      <c r="I131" s="4">
        <v>57</v>
      </c>
      <c r="J131" s="4" t="str" cm="1">
        <f t="array" ref="J131">_xlfn.IFS(I131&lt;30,"Young Adult", I131&lt;50,"Adult",I131 &gt;=50,"Seniors")</f>
        <v>Seniors</v>
      </c>
      <c r="K131" s="4" t="s">
        <v>3</v>
      </c>
      <c r="L131" s="4">
        <v>1</v>
      </c>
      <c r="M131" s="5">
        <v>500</v>
      </c>
      <c r="N131">
        <f>L131*M131</f>
        <v>500</v>
      </c>
      <c r="O131" s="15">
        <f>N131*$R$3</f>
        <v>7.5</v>
      </c>
    </row>
    <row r="132" spans="1:15">
      <c r="A132" s="2">
        <v>131</v>
      </c>
      <c r="B132" s="4">
        <f>YEAR(F132)</f>
        <v>2023</v>
      </c>
      <c r="C132" s="4">
        <f>MONTH(F132)</f>
        <v>9</v>
      </c>
      <c r="D132" s="4">
        <f>DAY(F132)</f>
        <v>18</v>
      </c>
      <c r="E132" s="4" t="str">
        <f t="shared" si="2"/>
        <v>Monday</v>
      </c>
      <c r="F132" s="3">
        <v>45187</v>
      </c>
      <c r="G132" s="4" t="s">
        <v>163</v>
      </c>
      <c r="H132" s="4" t="s">
        <v>7</v>
      </c>
      <c r="I132" s="4">
        <v>21</v>
      </c>
      <c r="J132" s="4" t="str" cm="1">
        <f t="array" ref="J132">_xlfn.IFS(I132&lt;30,"Young Adult", I132&lt;50,"Adult",I132 &gt;=50,"Seniors")</f>
        <v>Young Adult</v>
      </c>
      <c r="K132" s="4" t="s">
        <v>2</v>
      </c>
      <c r="L132" s="4">
        <v>2</v>
      </c>
      <c r="M132" s="5">
        <v>300</v>
      </c>
      <c r="N132">
        <f>L132*M132</f>
        <v>600</v>
      </c>
      <c r="O132" s="15">
        <f>N132*$R$3</f>
        <v>9</v>
      </c>
    </row>
    <row r="133" spans="1:15">
      <c r="A133" s="2">
        <v>132</v>
      </c>
      <c r="B133" s="4">
        <f>YEAR(F133)</f>
        <v>2023</v>
      </c>
      <c r="C133" s="4">
        <f>MONTH(F133)</f>
        <v>9</v>
      </c>
      <c r="D133" s="4">
        <f>DAY(F133)</f>
        <v>10</v>
      </c>
      <c r="E133" s="4" t="str">
        <f t="shared" si="2"/>
        <v>Sunday</v>
      </c>
      <c r="F133" s="3">
        <v>45179</v>
      </c>
      <c r="G133" s="4" t="s">
        <v>164</v>
      </c>
      <c r="H133" s="4" t="s">
        <v>8</v>
      </c>
      <c r="I133" s="4">
        <v>42</v>
      </c>
      <c r="J133" s="4" t="str" cm="1">
        <f t="array" ref="J133">_xlfn.IFS(I133&lt;30,"Young Adult", I133&lt;50,"Adult",I133 &gt;=50,"Seniors")</f>
        <v>Adult</v>
      </c>
      <c r="K133" s="4" t="s">
        <v>4</v>
      </c>
      <c r="L133" s="4">
        <v>4</v>
      </c>
      <c r="M133" s="5">
        <v>50</v>
      </c>
      <c r="N133">
        <f>L133*M133</f>
        <v>200</v>
      </c>
      <c r="O133" s="15">
        <f>N133*$R$3</f>
        <v>3</v>
      </c>
    </row>
    <row r="134" spans="1:15">
      <c r="A134" s="2">
        <v>133</v>
      </c>
      <c r="B134" s="4">
        <f>YEAR(F134)</f>
        <v>2023</v>
      </c>
      <c r="C134" s="4">
        <f>MONTH(F134)</f>
        <v>2</v>
      </c>
      <c r="D134" s="4">
        <f>DAY(F134)</f>
        <v>16</v>
      </c>
      <c r="E134" s="4" t="str">
        <f t="shared" si="2"/>
        <v>Thursday</v>
      </c>
      <c r="F134" s="3">
        <v>44973</v>
      </c>
      <c r="G134" s="4" t="s">
        <v>165</v>
      </c>
      <c r="H134" s="4" t="s">
        <v>8</v>
      </c>
      <c r="I134" s="4">
        <v>20</v>
      </c>
      <c r="J134" s="4" t="str" cm="1">
        <f t="array" ref="J134">_xlfn.IFS(I134&lt;30,"Young Adult", I134&lt;50,"Adult",I134 &gt;=50,"Seniors")</f>
        <v>Young Adult</v>
      </c>
      <c r="K134" s="4" t="s">
        <v>4</v>
      </c>
      <c r="L134" s="4">
        <v>3</v>
      </c>
      <c r="M134" s="5">
        <v>300</v>
      </c>
      <c r="N134">
        <f>L134*M134</f>
        <v>900</v>
      </c>
      <c r="O134" s="15">
        <f>N134*$R$3</f>
        <v>13.5</v>
      </c>
    </row>
    <row r="135" spans="1:15">
      <c r="A135" s="2">
        <v>134</v>
      </c>
      <c r="B135" s="4">
        <f>YEAR(F135)</f>
        <v>2023</v>
      </c>
      <c r="C135" s="4">
        <f>MONTH(F135)</f>
        <v>1</v>
      </c>
      <c r="D135" s="4">
        <f>DAY(F135)</f>
        <v>25</v>
      </c>
      <c r="E135" s="4" t="str">
        <f t="shared" si="2"/>
        <v>Wednesday</v>
      </c>
      <c r="F135" s="3">
        <v>44951</v>
      </c>
      <c r="G135" s="4" t="s">
        <v>166</v>
      </c>
      <c r="H135" s="4" t="s">
        <v>8</v>
      </c>
      <c r="I135" s="4">
        <v>49</v>
      </c>
      <c r="J135" s="4" t="str" cm="1">
        <f t="array" ref="J135">_xlfn.IFS(I135&lt;30,"Young Adult", I135&lt;50,"Adult",I135 &gt;=50,"Seniors")</f>
        <v>Adult</v>
      </c>
      <c r="K135" s="4" t="s">
        <v>4</v>
      </c>
      <c r="L135" s="4">
        <v>1</v>
      </c>
      <c r="M135" s="5">
        <v>50</v>
      </c>
      <c r="N135">
        <f>L135*M135</f>
        <v>50</v>
      </c>
      <c r="O135" s="15">
        <f>N135*$R$3</f>
        <v>0.75</v>
      </c>
    </row>
    <row r="136" spans="1:15">
      <c r="A136" s="2">
        <v>135</v>
      </c>
      <c r="B136" s="4">
        <f>YEAR(F136)</f>
        <v>2023</v>
      </c>
      <c r="C136" s="4">
        <f>MONTH(F136)</f>
        <v>2</v>
      </c>
      <c r="D136" s="4">
        <f>DAY(F136)</f>
        <v>26</v>
      </c>
      <c r="E136" s="4" t="str">
        <f t="shared" si="2"/>
        <v>Sunday</v>
      </c>
      <c r="F136" s="3">
        <v>44983</v>
      </c>
      <c r="G136" s="4" t="s">
        <v>167</v>
      </c>
      <c r="H136" s="4" t="s">
        <v>8</v>
      </c>
      <c r="I136" s="4">
        <v>20</v>
      </c>
      <c r="J136" s="4" t="str" cm="1">
        <f t="array" ref="J136">_xlfn.IFS(I136&lt;30,"Young Adult", I136&lt;50,"Adult",I136 &gt;=50,"Seniors")</f>
        <v>Young Adult</v>
      </c>
      <c r="K136" s="4" t="s">
        <v>3</v>
      </c>
      <c r="L136" s="4">
        <v>2</v>
      </c>
      <c r="M136" s="5">
        <v>25</v>
      </c>
      <c r="N136">
        <f>L136*M136</f>
        <v>50</v>
      </c>
      <c r="O136" s="15">
        <f>N136*$R$3</f>
        <v>0.75</v>
      </c>
    </row>
    <row r="137" spans="1:15">
      <c r="A137" s="2">
        <v>136</v>
      </c>
      <c r="B137" s="4">
        <f>YEAR(F137)</f>
        <v>2023</v>
      </c>
      <c r="C137" s="4">
        <f>MONTH(F137)</f>
        <v>3</v>
      </c>
      <c r="D137" s="4">
        <f>DAY(F137)</f>
        <v>20</v>
      </c>
      <c r="E137" s="4" t="str">
        <f t="shared" si="2"/>
        <v>Monday</v>
      </c>
      <c r="F137" s="3">
        <v>45005</v>
      </c>
      <c r="G137" s="4" t="s">
        <v>168</v>
      </c>
      <c r="H137" s="4" t="s">
        <v>8</v>
      </c>
      <c r="I137" s="4">
        <v>44</v>
      </c>
      <c r="J137" s="4" t="str" cm="1">
        <f t="array" ref="J137">_xlfn.IFS(I137&lt;30,"Young Adult", I137&lt;50,"Adult",I137 &gt;=50,"Seniors")</f>
        <v>Adult</v>
      </c>
      <c r="K137" s="4" t="s">
        <v>4</v>
      </c>
      <c r="L137" s="4">
        <v>2</v>
      </c>
      <c r="M137" s="5">
        <v>300</v>
      </c>
      <c r="N137">
        <f>L137*M137</f>
        <v>600</v>
      </c>
      <c r="O137" s="15">
        <f>N137*$R$3</f>
        <v>9</v>
      </c>
    </row>
    <row r="138" spans="1:15">
      <c r="A138" s="2">
        <v>137</v>
      </c>
      <c r="B138" s="4">
        <f>YEAR(F138)</f>
        <v>2023</v>
      </c>
      <c r="C138" s="4">
        <f>MONTH(F138)</f>
        <v>11</v>
      </c>
      <c r="D138" s="4">
        <f>DAY(F138)</f>
        <v>18</v>
      </c>
      <c r="E138" s="4" t="str">
        <f t="shared" si="2"/>
        <v>Saturday</v>
      </c>
      <c r="F138" s="3">
        <v>45248</v>
      </c>
      <c r="G138" s="4" t="s">
        <v>169</v>
      </c>
      <c r="H138" s="4" t="s">
        <v>8</v>
      </c>
      <c r="I138" s="4">
        <v>46</v>
      </c>
      <c r="J138" s="4" t="str" cm="1">
        <f t="array" ref="J138">_xlfn.IFS(I138&lt;30,"Young Adult", I138&lt;50,"Adult",I138 &gt;=50,"Seniors")</f>
        <v>Adult</v>
      </c>
      <c r="K138" s="4" t="s">
        <v>2</v>
      </c>
      <c r="L138" s="4">
        <v>2</v>
      </c>
      <c r="M138" s="5">
        <v>500</v>
      </c>
      <c r="N138">
        <f>L138*M138</f>
        <v>1000</v>
      </c>
      <c r="O138" s="15">
        <f>N138*$R$3</f>
        <v>15</v>
      </c>
    </row>
    <row r="139" spans="1:15">
      <c r="A139" s="2">
        <v>138</v>
      </c>
      <c r="B139" s="4">
        <f>YEAR(F139)</f>
        <v>2023</v>
      </c>
      <c r="C139" s="4">
        <f>MONTH(F139)</f>
        <v>3</v>
      </c>
      <c r="D139" s="4">
        <f>DAY(F139)</f>
        <v>23</v>
      </c>
      <c r="E139" s="4" t="str">
        <f t="shared" si="2"/>
        <v>Thursday</v>
      </c>
      <c r="F139" s="3">
        <v>45008</v>
      </c>
      <c r="G139" s="4" t="s">
        <v>170</v>
      </c>
      <c r="H139" s="4" t="s">
        <v>8</v>
      </c>
      <c r="I139" s="4">
        <v>49</v>
      </c>
      <c r="J139" s="4" t="str" cm="1">
        <f t="array" ref="J139">_xlfn.IFS(I139&lt;30,"Young Adult", I139&lt;50,"Adult",I139 &gt;=50,"Seniors")</f>
        <v>Adult</v>
      </c>
      <c r="K139" s="4" t="s">
        <v>3</v>
      </c>
      <c r="L139" s="4">
        <v>4</v>
      </c>
      <c r="M139" s="5">
        <v>50</v>
      </c>
      <c r="N139">
        <f>L139*M139</f>
        <v>200</v>
      </c>
      <c r="O139" s="15">
        <f>N139*$R$3</f>
        <v>3</v>
      </c>
    </row>
    <row r="140" spans="1:15">
      <c r="A140" s="2">
        <v>139</v>
      </c>
      <c r="B140" s="4">
        <f>YEAR(F140)</f>
        <v>2023</v>
      </c>
      <c r="C140" s="4">
        <f>MONTH(F140)</f>
        <v>12</v>
      </c>
      <c r="D140" s="4">
        <f>DAY(F140)</f>
        <v>15</v>
      </c>
      <c r="E140" s="4" t="str">
        <f t="shared" si="2"/>
        <v>Friday</v>
      </c>
      <c r="F140" s="3">
        <v>45275</v>
      </c>
      <c r="G140" s="4" t="s">
        <v>171</v>
      </c>
      <c r="H140" s="4" t="s">
        <v>8</v>
      </c>
      <c r="I140" s="4">
        <v>36</v>
      </c>
      <c r="J140" s="4" t="str" cm="1">
        <f t="array" ref="J140">_xlfn.IFS(I140&lt;30,"Young Adult", I140&lt;50,"Adult",I140 &gt;=50,"Seniors")</f>
        <v>Adult</v>
      </c>
      <c r="K140" s="4" t="s">
        <v>2</v>
      </c>
      <c r="L140" s="4">
        <v>4</v>
      </c>
      <c r="M140" s="5">
        <v>500</v>
      </c>
      <c r="N140">
        <f>L140*M140</f>
        <v>2000</v>
      </c>
      <c r="O140" s="15">
        <f>N140*$R$3</f>
        <v>30</v>
      </c>
    </row>
    <row r="141" spans="1:15">
      <c r="A141" s="2">
        <v>140</v>
      </c>
      <c r="B141" s="4">
        <f>YEAR(F141)</f>
        <v>2023</v>
      </c>
      <c r="C141" s="4">
        <f>MONTH(F141)</f>
        <v>8</v>
      </c>
      <c r="D141" s="4">
        <f>DAY(F141)</f>
        <v>5</v>
      </c>
      <c r="E141" s="4" t="str">
        <f t="shared" si="2"/>
        <v>Saturday</v>
      </c>
      <c r="F141" s="3">
        <v>45143</v>
      </c>
      <c r="G141" s="4" t="s">
        <v>172</v>
      </c>
      <c r="H141" s="4" t="s">
        <v>8</v>
      </c>
      <c r="I141" s="4">
        <v>38</v>
      </c>
      <c r="J141" s="4" t="str" cm="1">
        <f t="array" ref="J141">_xlfn.IFS(I141&lt;30,"Young Adult", I141&lt;50,"Adult",I141 &gt;=50,"Seniors")</f>
        <v>Adult</v>
      </c>
      <c r="K141" s="4" t="s">
        <v>4</v>
      </c>
      <c r="L141" s="4">
        <v>1</v>
      </c>
      <c r="M141" s="5">
        <v>30</v>
      </c>
      <c r="N141">
        <f>L141*M141</f>
        <v>30</v>
      </c>
      <c r="O141" s="15">
        <f>N141*$R$3</f>
        <v>0.44999999999999996</v>
      </c>
    </row>
    <row r="142" spans="1:15">
      <c r="A142" s="2">
        <v>141</v>
      </c>
      <c r="B142" s="4">
        <f>YEAR(F142)</f>
        <v>2023</v>
      </c>
      <c r="C142" s="4">
        <f>MONTH(F142)</f>
        <v>11</v>
      </c>
      <c r="D142" s="4">
        <f>DAY(F142)</f>
        <v>2</v>
      </c>
      <c r="E142" s="4" t="str">
        <f t="shared" si="2"/>
        <v>Thursday</v>
      </c>
      <c r="F142" s="3">
        <v>45232</v>
      </c>
      <c r="G142" s="4" t="s">
        <v>173</v>
      </c>
      <c r="H142" s="4" t="s">
        <v>7</v>
      </c>
      <c r="I142" s="4">
        <v>22</v>
      </c>
      <c r="J142" s="4" t="str" cm="1">
        <f t="array" ref="J142">_xlfn.IFS(I142&lt;30,"Young Adult", I142&lt;50,"Adult",I142 &gt;=50,"Seniors")</f>
        <v>Young Adult</v>
      </c>
      <c r="K142" s="4" t="s">
        <v>4</v>
      </c>
      <c r="L142" s="4">
        <v>1</v>
      </c>
      <c r="M142" s="5">
        <v>50</v>
      </c>
      <c r="N142">
        <f>L142*M142</f>
        <v>50</v>
      </c>
      <c r="O142" s="15">
        <f>N142*$R$3</f>
        <v>0.75</v>
      </c>
    </row>
    <row r="143" spans="1:15">
      <c r="A143" s="2">
        <v>142</v>
      </c>
      <c r="B143" s="4">
        <f>YEAR(F143)</f>
        <v>2023</v>
      </c>
      <c r="C143" s="4">
        <f>MONTH(F143)</f>
        <v>2</v>
      </c>
      <c r="D143" s="4">
        <f>DAY(F143)</f>
        <v>2</v>
      </c>
      <c r="E143" s="4" t="str">
        <f t="shared" si="2"/>
        <v>Thursday</v>
      </c>
      <c r="F143" s="3">
        <v>44959</v>
      </c>
      <c r="G143" s="4" t="s">
        <v>174</v>
      </c>
      <c r="H143" s="4" t="s">
        <v>8</v>
      </c>
      <c r="I143" s="4">
        <v>35</v>
      </c>
      <c r="J143" s="4" t="str" cm="1">
        <f t="array" ref="J143">_xlfn.IFS(I143&lt;30,"Young Adult", I143&lt;50,"Adult",I143 &gt;=50,"Seniors")</f>
        <v>Adult</v>
      </c>
      <c r="K143" s="4" t="s">
        <v>4</v>
      </c>
      <c r="L143" s="4">
        <v>4</v>
      </c>
      <c r="M143" s="5">
        <v>300</v>
      </c>
      <c r="N143">
        <f>L143*M143</f>
        <v>1200</v>
      </c>
      <c r="O143" s="15">
        <f>N143*$R$3</f>
        <v>18</v>
      </c>
    </row>
    <row r="144" spans="1:15">
      <c r="A144" s="2">
        <v>143</v>
      </c>
      <c r="B144" s="4">
        <f>YEAR(F144)</f>
        <v>2023</v>
      </c>
      <c r="C144" s="4">
        <f>MONTH(F144)</f>
        <v>7</v>
      </c>
      <c r="D144" s="4">
        <f>DAY(F144)</f>
        <v>17</v>
      </c>
      <c r="E144" s="4" t="str">
        <f t="shared" si="2"/>
        <v>Monday</v>
      </c>
      <c r="F144" s="3">
        <v>45124</v>
      </c>
      <c r="G144" s="4" t="s">
        <v>175</v>
      </c>
      <c r="H144" s="4" t="s">
        <v>7</v>
      </c>
      <c r="I144" s="4">
        <v>45</v>
      </c>
      <c r="J144" s="4" t="str" cm="1">
        <f t="array" ref="J144">_xlfn.IFS(I144&lt;30,"Young Adult", I144&lt;50,"Adult",I144 &gt;=50,"Seniors")</f>
        <v>Adult</v>
      </c>
      <c r="K144" s="4" t="s">
        <v>3</v>
      </c>
      <c r="L144" s="4">
        <v>1</v>
      </c>
      <c r="M144" s="5">
        <v>50</v>
      </c>
      <c r="N144">
        <f>L144*M144</f>
        <v>50</v>
      </c>
      <c r="O144" s="15">
        <f>N144*$R$3</f>
        <v>0.75</v>
      </c>
    </row>
    <row r="145" spans="1:15">
      <c r="A145" s="2">
        <v>144</v>
      </c>
      <c r="B145" s="4">
        <f>YEAR(F145)</f>
        <v>2023</v>
      </c>
      <c r="C145" s="4">
        <f>MONTH(F145)</f>
        <v>7</v>
      </c>
      <c r="D145" s="4">
        <f>DAY(F145)</f>
        <v>15</v>
      </c>
      <c r="E145" s="4" t="str">
        <f t="shared" si="2"/>
        <v>Saturday</v>
      </c>
      <c r="F145" s="3">
        <v>45122</v>
      </c>
      <c r="G145" s="4" t="s">
        <v>176</v>
      </c>
      <c r="H145" s="4" t="s">
        <v>7</v>
      </c>
      <c r="I145" s="4">
        <v>59</v>
      </c>
      <c r="J145" s="4" t="str" cm="1">
        <f t="array" ref="J145">_xlfn.IFS(I145&lt;30,"Young Adult", I145&lt;50,"Adult",I145 &gt;=50,"Seniors")</f>
        <v>Seniors</v>
      </c>
      <c r="K145" s="4" t="s">
        <v>2</v>
      </c>
      <c r="L145" s="4">
        <v>3</v>
      </c>
      <c r="M145" s="5">
        <v>500</v>
      </c>
      <c r="N145">
        <f>L145*M145</f>
        <v>1500</v>
      </c>
      <c r="O145" s="15">
        <f>N145*$R$3</f>
        <v>22.5</v>
      </c>
    </row>
    <row r="146" spans="1:15">
      <c r="A146" s="2">
        <v>145</v>
      </c>
      <c r="B146" s="4">
        <f>YEAR(F146)</f>
        <v>2023</v>
      </c>
      <c r="C146" s="4">
        <f>MONTH(F146)</f>
        <v>11</v>
      </c>
      <c r="D146" s="4">
        <f>DAY(F146)</f>
        <v>2</v>
      </c>
      <c r="E146" s="4" t="str">
        <f t="shared" si="2"/>
        <v>Thursday</v>
      </c>
      <c r="F146" s="3">
        <v>45232</v>
      </c>
      <c r="G146" s="4" t="s">
        <v>177</v>
      </c>
      <c r="H146" s="4" t="s">
        <v>7</v>
      </c>
      <c r="I146" s="4">
        <v>39</v>
      </c>
      <c r="J146" s="4" t="str" cm="1">
        <f t="array" ref="J146">_xlfn.IFS(I146&lt;30,"Young Adult", I146&lt;50,"Adult",I146 &gt;=50,"Seniors")</f>
        <v>Adult</v>
      </c>
      <c r="K146" s="4" t="s">
        <v>3</v>
      </c>
      <c r="L146" s="4">
        <v>3</v>
      </c>
      <c r="M146" s="5">
        <v>25</v>
      </c>
      <c r="N146">
        <f>L146*M146</f>
        <v>75</v>
      </c>
      <c r="O146" s="15">
        <f>N146*$R$3</f>
        <v>1.125</v>
      </c>
    </row>
    <row r="147" spans="1:15">
      <c r="A147" s="2">
        <v>146</v>
      </c>
      <c r="B147" s="4">
        <f>YEAR(F147)</f>
        <v>2023</v>
      </c>
      <c r="C147" s="4">
        <f>MONTH(F147)</f>
        <v>8</v>
      </c>
      <c r="D147" s="4">
        <f>DAY(F147)</f>
        <v>28</v>
      </c>
      <c r="E147" s="4" t="str">
        <f t="shared" si="2"/>
        <v>Monday</v>
      </c>
      <c r="F147" s="3">
        <v>45166</v>
      </c>
      <c r="G147" s="4" t="s">
        <v>178</v>
      </c>
      <c r="H147" s="4" t="s">
        <v>8</v>
      </c>
      <c r="I147" s="4">
        <v>38</v>
      </c>
      <c r="J147" s="4" t="str" cm="1">
        <f t="array" ref="J147">_xlfn.IFS(I147&lt;30,"Young Adult", I147&lt;50,"Adult",I147 &gt;=50,"Seniors")</f>
        <v>Adult</v>
      </c>
      <c r="K147" s="4" t="s">
        <v>3</v>
      </c>
      <c r="L147" s="4">
        <v>4</v>
      </c>
      <c r="M147" s="5">
        <v>50</v>
      </c>
      <c r="N147">
        <f>L147*M147</f>
        <v>200</v>
      </c>
      <c r="O147" s="15">
        <f>N147*$R$3</f>
        <v>3</v>
      </c>
    </row>
    <row r="148" spans="1:15">
      <c r="A148" s="2">
        <v>147</v>
      </c>
      <c r="B148" s="4">
        <f>YEAR(F148)</f>
        <v>2023</v>
      </c>
      <c r="C148" s="4">
        <f>MONTH(F148)</f>
        <v>9</v>
      </c>
      <c r="D148" s="4">
        <f>DAY(F148)</f>
        <v>28</v>
      </c>
      <c r="E148" s="4" t="str">
        <f t="shared" si="2"/>
        <v>Thursday</v>
      </c>
      <c r="F148" s="3">
        <v>45197</v>
      </c>
      <c r="G148" s="4" t="s">
        <v>179</v>
      </c>
      <c r="H148" s="4" t="s">
        <v>8</v>
      </c>
      <c r="I148" s="4">
        <v>23</v>
      </c>
      <c r="J148" s="4" t="str" cm="1">
        <f t="array" ref="J148">_xlfn.IFS(I148&lt;30,"Young Adult", I148&lt;50,"Adult",I148 &gt;=50,"Seniors")</f>
        <v>Young Adult</v>
      </c>
      <c r="K148" s="4" t="s">
        <v>4</v>
      </c>
      <c r="L148" s="4">
        <v>1</v>
      </c>
      <c r="M148" s="5">
        <v>300</v>
      </c>
      <c r="N148">
        <f>L148*M148</f>
        <v>300</v>
      </c>
      <c r="O148" s="15">
        <f>N148*$R$3</f>
        <v>4.5</v>
      </c>
    </row>
    <row r="149" spans="1:15">
      <c r="A149" s="2">
        <v>148</v>
      </c>
      <c r="B149" s="4">
        <f>YEAR(F149)</f>
        <v>2023</v>
      </c>
      <c r="C149" s="4">
        <f>MONTH(F149)</f>
        <v>5</v>
      </c>
      <c r="D149" s="4">
        <f>DAY(F149)</f>
        <v>9</v>
      </c>
      <c r="E149" s="4" t="str">
        <f t="shared" si="2"/>
        <v>Tuesday</v>
      </c>
      <c r="F149" s="3">
        <v>45055</v>
      </c>
      <c r="G149" s="4" t="s">
        <v>180</v>
      </c>
      <c r="H149" s="4" t="s">
        <v>8</v>
      </c>
      <c r="I149" s="4">
        <v>18</v>
      </c>
      <c r="J149" s="4" t="str" cm="1">
        <f t="array" ref="J149">_xlfn.IFS(I149&lt;30,"Young Adult", I149&lt;50,"Adult",I149 &gt;=50,"Seniors")</f>
        <v>Young Adult</v>
      </c>
      <c r="K149" s="4" t="s">
        <v>3</v>
      </c>
      <c r="L149" s="4">
        <v>2</v>
      </c>
      <c r="M149" s="5">
        <v>30</v>
      </c>
      <c r="N149">
        <f>L149*M149</f>
        <v>60</v>
      </c>
      <c r="O149" s="15">
        <f>N149*$R$3</f>
        <v>0.89999999999999991</v>
      </c>
    </row>
    <row r="150" spans="1:15">
      <c r="A150" s="2">
        <v>149</v>
      </c>
      <c r="B150" s="4">
        <f>YEAR(F150)</f>
        <v>2023</v>
      </c>
      <c r="C150" s="4">
        <f>MONTH(F150)</f>
        <v>10</v>
      </c>
      <c r="D150" s="4">
        <f>DAY(F150)</f>
        <v>11</v>
      </c>
      <c r="E150" s="4" t="str">
        <f t="shared" si="2"/>
        <v>Wednesday</v>
      </c>
      <c r="F150" s="3">
        <v>45210</v>
      </c>
      <c r="G150" s="4" t="s">
        <v>181</v>
      </c>
      <c r="H150" s="4" t="s">
        <v>8</v>
      </c>
      <c r="I150" s="4">
        <v>22</v>
      </c>
      <c r="J150" s="4" t="str" cm="1">
        <f t="array" ref="J150">_xlfn.IFS(I150&lt;30,"Young Adult", I150&lt;50,"Adult",I150 &gt;=50,"Seniors")</f>
        <v>Young Adult</v>
      </c>
      <c r="K150" s="4" t="s">
        <v>3</v>
      </c>
      <c r="L150" s="4">
        <v>3</v>
      </c>
      <c r="M150" s="5">
        <v>25</v>
      </c>
      <c r="N150">
        <f>L150*M150</f>
        <v>75</v>
      </c>
      <c r="O150" s="15">
        <f>N150*$R$3</f>
        <v>1.125</v>
      </c>
    </row>
    <row r="151" spans="1:15">
      <c r="A151" s="2">
        <v>150</v>
      </c>
      <c r="B151" s="4">
        <f>YEAR(F151)</f>
        <v>2023</v>
      </c>
      <c r="C151" s="4">
        <f>MONTH(F151)</f>
        <v>1</v>
      </c>
      <c r="D151" s="4">
        <f>DAY(F151)</f>
        <v>6</v>
      </c>
      <c r="E151" s="4" t="str">
        <f t="shared" si="2"/>
        <v>Friday</v>
      </c>
      <c r="F151" s="3">
        <v>44932</v>
      </c>
      <c r="G151" s="4" t="s">
        <v>182</v>
      </c>
      <c r="H151" s="4" t="s">
        <v>7</v>
      </c>
      <c r="I151" s="4">
        <v>58</v>
      </c>
      <c r="J151" s="4" t="str" cm="1">
        <f t="array" ref="J151">_xlfn.IFS(I151&lt;30,"Young Adult", I151&lt;50,"Adult",I151 &gt;=50,"Seniors")</f>
        <v>Seniors</v>
      </c>
      <c r="K151" s="4" t="s">
        <v>4</v>
      </c>
      <c r="L151" s="4">
        <v>4</v>
      </c>
      <c r="M151" s="5">
        <v>30</v>
      </c>
      <c r="N151">
        <f>L151*M151</f>
        <v>120</v>
      </c>
      <c r="O151" s="15">
        <f>N151*$R$3</f>
        <v>1.7999999999999998</v>
      </c>
    </row>
    <row r="152" spans="1:15">
      <c r="A152" s="2">
        <v>151</v>
      </c>
      <c r="B152" s="4">
        <f>YEAR(F152)</f>
        <v>2023</v>
      </c>
      <c r="C152" s="4">
        <f>MONTH(F152)</f>
        <v>12</v>
      </c>
      <c r="D152" s="4">
        <f>DAY(F152)</f>
        <v>15</v>
      </c>
      <c r="E152" s="4" t="str">
        <f t="shared" si="2"/>
        <v>Friday</v>
      </c>
      <c r="F152" s="3">
        <v>45275</v>
      </c>
      <c r="G152" s="4" t="s">
        <v>183</v>
      </c>
      <c r="H152" s="4" t="s">
        <v>8</v>
      </c>
      <c r="I152" s="4">
        <v>29</v>
      </c>
      <c r="J152" s="4" t="str" cm="1">
        <f t="array" ref="J152">_xlfn.IFS(I152&lt;30,"Young Adult", I152&lt;50,"Adult",I152 &gt;=50,"Seniors")</f>
        <v>Young Adult</v>
      </c>
      <c r="K152" s="4" t="s">
        <v>3</v>
      </c>
      <c r="L152" s="4">
        <v>1</v>
      </c>
      <c r="M152" s="5">
        <v>50</v>
      </c>
      <c r="N152">
        <f>L152*M152</f>
        <v>50</v>
      </c>
      <c r="O152" s="15">
        <f>N152*$R$3</f>
        <v>0.75</v>
      </c>
    </row>
    <row r="153" spans="1:15">
      <c r="A153" s="2">
        <v>152</v>
      </c>
      <c r="B153" s="4">
        <f>YEAR(F153)</f>
        <v>2023</v>
      </c>
      <c r="C153" s="4">
        <f>MONTH(F153)</f>
        <v>2</v>
      </c>
      <c r="D153" s="4">
        <f>DAY(F153)</f>
        <v>28</v>
      </c>
      <c r="E153" s="4" t="str">
        <f t="shared" si="2"/>
        <v>Tuesday</v>
      </c>
      <c r="F153" s="3">
        <v>44985</v>
      </c>
      <c r="G153" s="4" t="s">
        <v>184</v>
      </c>
      <c r="H153" s="4" t="s">
        <v>8</v>
      </c>
      <c r="I153" s="4">
        <v>43</v>
      </c>
      <c r="J153" s="4" t="str" cm="1">
        <f t="array" ref="J153">_xlfn.IFS(I153&lt;30,"Young Adult", I153&lt;50,"Adult",I153 &gt;=50,"Seniors")</f>
        <v>Adult</v>
      </c>
      <c r="K153" s="4" t="s">
        <v>4</v>
      </c>
      <c r="L153" s="4">
        <v>4</v>
      </c>
      <c r="M153" s="5">
        <v>500</v>
      </c>
      <c r="N153">
        <f>L153*M153</f>
        <v>2000</v>
      </c>
      <c r="O153" s="15">
        <f>N153*$R$3</f>
        <v>30</v>
      </c>
    </row>
    <row r="154" spans="1:15">
      <c r="A154" s="2">
        <v>153</v>
      </c>
      <c r="B154" s="4">
        <f>YEAR(F154)</f>
        <v>2023</v>
      </c>
      <c r="C154" s="4">
        <f>MONTH(F154)</f>
        <v>12</v>
      </c>
      <c r="D154" s="4">
        <f>DAY(F154)</f>
        <v>16</v>
      </c>
      <c r="E154" s="4" t="str">
        <f t="shared" si="2"/>
        <v>Saturday</v>
      </c>
      <c r="F154" s="3">
        <v>45276</v>
      </c>
      <c r="G154" s="4" t="s">
        <v>185</v>
      </c>
      <c r="H154" s="4" t="s">
        <v>8</v>
      </c>
      <c r="I154" s="4">
        <v>63</v>
      </c>
      <c r="J154" s="4" t="str" cm="1">
        <f t="array" ref="J154">_xlfn.IFS(I154&lt;30,"Young Adult", I154&lt;50,"Adult",I154 &gt;=50,"Seniors")</f>
        <v>Seniors</v>
      </c>
      <c r="K154" s="4" t="s">
        <v>4</v>
      </c>
      <c r="L154" s="4">
        <v>2</v>
      </c>
      <c r="M154" s="5">
        <v>500</v>
      </c>
      <c r="N154">
        <f>L154*M154</f>
        <v>1000</v>
      </c>
      <c r="O154" s="15">
        <f>N154*$R$3</f>
        <v>15</v>
      </c>
    </row>
    <row r="155" spans="1:15">
      <c r="A155" s="2">
        <v>154</v>
      </c>
      <c r="B155" s="4">
        <f>YEAR(F155)</f>
        <v>2023</v>
      </c>
      <c r="C155" s="4">
        <f>MONTH(F155)</f>
        <v>10</v>
      </c>
      <c r="D155" s="4">
        <f>DAY(F155)</f>
        <v>2</v>
      </c>
      <c r="E155" s="4" t="str">
        <f t="shared" si="2"/>
        <v>Monday</v>
      </c>
      <c r="F155" s="3">
        <v>45201</v>
      </c>
      <c r="G155" s="4" t="s">
        <v>186</v>
      </c>
      <c r="H155" s="4" t="s">
        <v>8</v>
      </c>
      <c r="I155" s="4">
        <v>51</v>
      </c>
      <c r="J155" s="4" t="str" cm="1">
        <f t="array" ref="J155">_xlfn.IFS(I155&lt;30,"Young Adult", I155&lt;50,"Adult",I155 &gt;=50,"Seniors")</f>
        <v>Seniors</v>
      </c>
      <c r="K155" s="4" t="s">
        <v>4</v>
      </c>
      <c r="L155" s="4">
        <v>3</v>
      </c>
      <c r="M155" s="5">
        <v>300</v>
      </c>
      <c r="N155">
        <f>L155*M155</f>
        <v>900</v>
      </c>
      <c r="O155" s="15">
        <f>N155*$R$3</f>
        <v>13.5</v>
      </c>
    </row>
    <row r="156" spans="1:15">
      <c r="A156" s="2">
        <v>155</v>
      </c>
      <c r="B156" s="4">
        <f>YEAR(F156)</f>
        <v>2023</v>
      </c>
      <c r="C156" s="4">
        <f>MONTH(F156)</f>
        <v>5</v>
      </c>
      <c r="D156" s="4">
        <f>DAY(F156)</f>
        <v>17</v>
      </c>
      <c r="E156" s="4" t="str">
        <f t="shared" si="2"/>
        <v>Wednesday</v>
      </c>
      <c r="F156" s="3">
        <v>45063</v>
      </c>
      <c r="G156" s="4" t="s">
        <v>187</v>
      </c>
      <c r="H156" s="4" t="s">
        <v>8</v>
      </c>
      <c r="I156" s="4">
        <v>31</v>
      </c>
      <c r="J156" s="4" t="str" cm="1">
        <f t="array" ref="J156">_xlfn.IFS(I156&lt;30,"Young Adult", I156&lt;50,"Adult",I156 &gt;=50,"Seniors")</f>
        <v>Adult</v>
      </c>
      <c r="K156" s="4" t="s">
        <v>4</v>
      </c>
      <c r="L156" s="4">
        <v>4</v>
      </c>
      <c r="M156" s="5">
        <v>500</v>
      </c>
      <c r="N156">
        <f>L156*M156</f>
        <v>2000</v>
      </c>
      <c r="O156" s="15">
        <f>N156*$R$3</f>
        <v>30</v>
      </c>
    </row>
    <row r="157" spans="1:15">
      <c r="A157" s="2">
        <v>156</v>
      </c>
      <c r="B157" s="4">
        <f>YEAR(F157)</f>
        <v>2023</v>
      </c>
      <c r="C157" s="4">
        <f>MONTH(F157)</f>
        <v>11</v>
      </c>
      <c r="D157" s="4">
        <f>DAY(F157)</f>
        <v>25</v>
      </c>
      <c r="E157" s="4" t="str">
        <f t="shared" si="2"/>
        <v>Saturday</v>
      </c>
      <c r="F157" s="3">
        <v>45255</v>
      </c>
      <c r="G157" s="4" t="s">
        <v>188</v>
      </c>
      <c r="H157" s="4" t="s">
        <v>7</v>
      </c>
      <c r="I157" s="4">
        <v>43</v>
      </c>
      <c r="J157" s="4" t="str" cm="1">
        <f t="array" ref="J157">_xlfn.IFS(I157&lt;30,"Young Adult", I157&lt;50,"Adult",I157 &gt;=50,"Seniors")</f>
        <v>Adult</v>
      </c>
      <c r="K157" s="4" t="s">
        <v>3</v>
      </c>
      <c r="L157" s="4">
        <v>4</v>
      </c>
      <c r="M157" s="5">
        <v>25</v>
      </c>
      <c r="N157">
        <f>L157*M157</f>
        <v>100</v>
      </c>
      <c r="O157" s="15">
        <f>N157*$R$3</f>
        <v>1.5</v>
      </c>
    </row>
    <row r="158" spans="1:15">
      <c r="A158" s="2">
        <v>157</v>
      </c>
      <c r="B158" s="4">
        <f>YEAR(F158)</f>
        <v>2023</v>
      </c>
      <c r="C158" s="4">
        <f>MONTH(F158)</f>
        <v>6</v>
      </c>
      <c r="D158" s="4">
        <f>DAY(F158)</f>
        <v>24</v>
      </c>
      <c r="E158" s="4" t="str">
        <f t="shared" si="2"/>
        <v>Saturday</v>
      </c>
      <c r="F158" s="3">
        <v>45101</v>
      </c>
      <c r="G158" s="4" t="s">
        <v>189</v>
      </c>
      <c r="H158" s="4" t="s">
        <v>8</v>
      </c>
      <c r="I158" s="4">
        <v>62</v>
      </c>
      <c r="J158" s="4" t="str" cm="1">
        <f t="array" ref="J158">_xlfn.IFS(I158&lt;30,"Young Adult", I158&lt;50,"Adult",I158 &gt;=50,"Seniors")</f>
        <v>Seniors</v>
      </c>
      <c r="K158" s="4" t="s">
        <v>4</v>
      </c>
      <c r="L158" s="4">
        <v>4</v>
      </c>
      <c r="M158" s="5">
        <v>500</v>
      </c>
      <c r="N158">
        <f>L158*M158</f>
        <v>2000</v>
      </c>
      <c r="O158" s="15">
        <f>N158*$R$3</f>
        <v>30</v>
      </c>
    </row>
    <row r="159" spans="1:15">
      <c r="A159" s="2">
        <v>158</v>
      </c>
      <c r="B159" s="4">
        <f>YEAR(F159)</f>
        <v>2023</v>
      </c>
      <c r="C159" s="4">
        <f>MONTH(F159)</f>
        <v>2</v>
      </c>
      <c r="D159" s="4">
        <f>DAY(F159)</f>
        <v>27</v>
      </c>
      <c r="E159" s="4" t="str">
        <f t="shared" si="2"/>
        <v>Monday</v>
      </c>
      <c r="F159" s="3">
        <v>44984</v>
      </c>
      <c r="G159" s="4" t="s">
        <v>190</v>
      </c>
      <c r="H159" s="4" t="s">
        <v>7</v>
      </c>
      <c r="I159" s="4">
        <v>44</v>
      </c>
      <c r="J159" s="4" t="str" cm="1">
        <f t="array" ref="J159">_xlfn.IFS(I159&lt;30,"Young Adult", I159&lt;50,"Adult",I159 &gt;=50,"Seniors")</f>
        <v>Adult</v>
      </c>
      <c r="K159" s="4" t="s">
        <v>4</v>
      </c>
      <c r="L159" s="4">
        <v>2</v>
      </c>
      <c r="M159" s="5">
        <v>300</v>
      </c>
      <c r="N159">
        <f>L159*M159</f>
        <v>600</v>
      </c>
      <c r="O159" s="15">
        <f>N159*$R$3</f>
        <v>9</v>
      </c>
    </row>
    <row r="160" spans="1:15">
      <c r="A160" s="2">
        <v>159</v>
      </c>
      <c r="B160" s="4">
        <f>YEAR(F160)</f>
        <v>2023</v>
      </c>
      <c r="C160" s="4">
        <f>MONTH(F160)</f>
        <v>5</v>
      </c>
      <c r="D160" s="4">
        <f>DAY(F160)</f>
        <v>31</v>
      </c>
      <c r="E160" s="4" t="str">
        <f t="shared" si="2"/>
        <v>Wednesday</v>
      </c>
      <c r="F160" s="3">
        <v>45077</v>
      </c>
      <c r="G160" s="4" t="s">
        <v>191</v>
      </c>
      <c r="H160" s="4" t="s">
        <v>8</v>
      </c>
      <c r="I160" s="4">
        <v>26</v>
      </c>
      <c r="J160" s="4" t="str" cm="1">
        <f t="array" ref="J160">_xlfn.IFS(I160&lt;30,"Young Adult", I160&lt;50,"Adult",I160 &gt;=50,"Seniors")</f>
        <v>Young Adult</v>
      </c>
      <c r="K160" s="4" t="s">
        <v>3</v>
      </c>
      <c r="L160" s="4">
        <v>4</v>
      </c>
      <c r="M160" s="5">
        <v>50</v>
      </c>
      <c r="N160">
        <f>L160*M160</f>
        <v>200</v>
      </c>
      <c r="O160" s="15">
        <f>N160*$R$3</f>
        <v>3</v>
      </c>
    </row>
    <row r="161" spans="1:15">
      <c r="A161" s="2">
        <v>160</v>
      </c>
      <c r="B161" s="4">
        <f>YEAR(F161)</f>
        <v>2023</v>
      </c>
      <c r="C161" s="4">
        <f>MONTH(F161)</f>
        <v>8</v>
      </c>
      <c r="D161" s="4">
        <f>DAY(F161)</f>
        <v>11</v>
      </c>
      <c r="E161" s="4" t="str">
        <f t="shared" si="2"/>
        <v>Friday</v>
      </c>
      <c r="F161" s="3">
        <v>45149</v>
      </c>
      <c r="G161" s="4" t="s">
        <v>192</v>
      </c>
      <c r="H161" s="4" t="s">
        <v>7</v>
      </c>
      <c r="I161" s="4">
        <v>43</v>
      </c>
      <c r="J161" s="4" t="str" cm="1">
        <f t="array" ref="J161">_xlfn.IFS(I161&lt;30,"Young Adult", I161&lt;50,"Adult",I161 &gt;=50,"Seniors")</f>
        <v>Adult</v>
      </c>
      <c r="K161" s="4" t="s">
        <v>3</v>
      </c>
      <c r="L161" s="4">
        <v>2</v>
      </c>
      <c r="M161" s="5">
        <v>50</v>
      </c>
      <c r="N161">
        <f>L161*M161</f>
        <v>100</v>
      </c>
      <c r="O161" s="15">
        <f>N161*$R$3</f>
        <v>1.5</v>
      </c>
    </row>
    <row r="162" spans="1:15">
      <c r="A162" s="2">
        <v>161</v>
      </c>
      <c r="B162" s="4">
        <f>YEAR(F162)</f>
        <v>2023</v>
      </c>
      <c r="C162" s="4">
        <f>MONTH(F162)</f>
        <v>3</v>
      </c>
      <c r="D162" s="4">
        <f>DAY(F162)</f>
        <v>22</v>
      </c>
      <c r="E162" s="4" t="str">
        <f t="shared" si="2"/>
        <v>Wednesday</v>
      </c>
      <c r="F162" s="3">
        <v>45007</v>
      </c>
      <c r="G162" s="4" t="s">
        <v>193</v>
      </c>
      <c r="H162" s="4" t="s">
        <v>8</v>
      </c>
      <c r="I162" s="4">
        <v>64</v>
      </c>
      <c r="J162" s="4" t="str" cm="1">
        <f t="array" ref="J162">_xlfn.IFS(I162&lt;30,"Young Adult", I162&lt;50,"Adult",I162 &gt;=50,"Seniors")</f>
        <v>Seniors</v>
      </c>
      <c r="K162" s="4" t="s">
        <v>2</v>
      </c>
      <c r="L162" s="4">
        <v>2</v>
      </c>
      <c r="M162" s="5">
        <v>500</v>
      </c>
      <c r="N162">
        <f>L162*M162</f>
        <v>1000</v>
      </c>
      <c r="O162" s="15">
        <f>N162*$R$3</f>
        <v>15</v>
      </c>
    </row>
    <row r="163" spans="1:15">
      <c r="A163" s="2">
        <v>162</v>
      </c>
      <c r="B163" s="4">
        <f>YEAR(F163)</f>
        <v>2023</v>
      </c>
      <c r="C163" s="4">
        <f>MONTH(F163)</f>
        <v>8</v>
      </c>
      <c r="D163" s="4">
        <f>DAY(F163)</f>
        <v>21</v>
      </c>
      <c r="E163" s="4" t="str">
        <f t="shared" si="2"/>
        <v>Monday</v>
      </c>
      <c r="F163" s="3">
        <v>45159</v>
      </c>
      <c r="G163" s="4" t="s">
        <v>194</v>
      </c>
      <c r="H163" s="4" t="s">
        <v>8</v>
      </c>
      <c r="I163" s="4">
        <v>39</v>
      </c>
      <c r="J163" s="4" t="str" cm="1">
        <f t="array" ref="J163">_xlfn.IFS(I163&lt;30,"Young Adult", I163&lt;50,"Adult",I163 &gt;=50,"Seniors")</f>
        <v>Adult</v>
      </c>
      <c r="K163" s="4" t="s">
        <v>3</v>
      </c>
      <c r="L163" s="4">
        <v>2</v>
      </c>
      <c r="M163" s="5">
        <v>30</v>
      </c>
      <c r="N163">
        <f>L163*M163</f>
        <v>60</v>
      </c>
      <c r="O163" s="15">
        <f>N163*$R$3</f>
        <v>0.89999999999999991</v>
      </c>
    </row>
    <row r="164" spans="1:15">
      <c r="A164" s="2">
        <v>163</v>
      </c>
      <c r="B164" s="4">
        <f>YEAR(F164)</f>
        <v>2023</v>
      </c>
      <c r="C164" s="4">
        <f>MONTH(F164)</f>
        <v>1</v>
      </c>
      <c r="D164" s="4">
        <f>DAY(F164)</f>
        <v>2</v>
      </c>
      <c r="E164" s="4" t="str">
        <f t="shared" si="2"/>
        <v>Monday</v>
      </c>
      <c r="F164" s="3">
        <v>44928</v>
      </c>
      <c r="G164" s="4" t="s">
        <v>195</v>
      </c>
      <c r="H164" s="4" t="s">
        <v>7</v>
      </c>
      <c r="I164" s="4">
        <v>64</v>
      </c>
      <c r="J164" s="4" t="str" cm="1">
        <f t="array" ref="J164">_xlfn.IFS(I164&lt;30,"Young Adult", I164&lt;50,"Adult",I164 &gt;=50,"Seniors")</f>
        <v>Seniors</v>
      </c>
      <c r="K164" s="4" t="s">
        <v>3</v>
      </c>
      <c r="L164" s="4">
        <v>3</v>
      </c>
      <c r="M164" s="5">
        <v>50</v>
      </c>
      <c r="N164">
        <f>L164*M164</f>
        <v>150</v>
      </c>
      <c r="O164" s="15">
        <f>N164*$R$3</f>
        <v>2.25</v>
      </c>
    </row>
    <row r="165" spans="1:15">
      <c r="A165" s="2">
        <v>164</v>
      </c>
      <c r="B165" s="4">
        <f>YEAR(F165)</f>
        <v>2023</v>
      </c>
      <c r="C165" s="4">
        <f>MONTH(F165)</f>
        <v>5</v>
      </c>
      <c r="D165" s="4">
        <f>DAY(F165)</f>
        <v>15</v>
      </c>
      <c r="E165" s="4" t="str">
        <f t="shared" si="2"/>
        <v>Monday</v>
      </c>
      <c r="F165" s="3">
        <v>45061</v>
      </c>
      <c r="G165" s="4" t="s">
        <v>196</v>
      </c>
      <c r="H165" s="4" t="s">
        <v>7</v>
      </c>
      <c r="I165" s="4">
        <v>47</v>
      </c>
      <c r="J165" s="4" t="str" cm="1">
        <f t="array" ref="J165">_xlfn.IFS(I165&lt;30,"Young Adult", I165&lt;50,"Adult",I165 &gt;=50,"Seniors")</f>
        <v>Adult</v>
      </c>
      <c r="K165" s="4" t="s">
        <v>2</v>
      </c>
      <c r="L165" s="4">
        <v>3</v>
      </c>
      <c r="M165" s="5">
        <v>500</v>
      </c>
      <c r="N165">
        <f>L165*M165</f>
        <v>1500</v>
      </c>
      <c r="O165" s="15">
        <f>N165*$R$3</f>
        <v>22.5</v>
      </c>
    </row>
    <row r="166" spans="1:15">
      <c r="A166" s="2">
        <v>165</v>
      </c>
      <c r="B166" s="4">
        <f>YEAR(F166)</f>
        <v>2023</v>
      </c>
      <c r="C166" s="4">
        <f>MONTH(F166)</f>
        <v>9</v>
      </c>
      <c r="D166" s="4">
        <f>DAY(F166)</f>
        <v>14</v>
      </c>
      <c r="E166" s="4" t="str">
        <f t="shared" si="2"/>
        <v>Thursday</v>
      </c>
      <c r="F166" s="3">
        <v>45183</v>
      </c>
      <c r="G166" s="4" t="s">
        <v>197</v>
      </c>
      <c r="H166" s="4" t="s">
        <v>7</v>
      </c>
      <c r="I166" s="4">
        <v>60</v>
      </c>
      <c r="J166" s="4" t="str" cm="1">
        <f t="array" ref="J166">_xlfn.IFS(I166&lt;30,"Young Adult", I166&lt;50,"Adult",I166 &gt;=50,"Seniors")</f>
        <v>Seniors</v>
      </c>
      <c r="K166" s="4" t="s">
        <v>3</v>
      </c>
      <c r="L166" s="4">
        <v>4</v>
      </c>
      <c r="M166" s="5">
        <v>300</v>
      </c>
      <c r="N166">
        <f>L166*M166</f>
        <v>1200</v>
      </c>
      <c r="O166" s="15">
        <f>N166*$R$3</f>
        <v>18</v>
      </c>
    </row>
    <row r="167" spans="1:15">
      <c r="A167" s="2">
        <v>166</v>
      </c>
      <c r="B167" s="4">
        <f>YEAR(F167)</f>
        <v>2023</v>
      </c>
      <c r="C167" s="4">
        <f>MONTH(F167)</f>
        <v>4</v>
      </c>
      <c r="D167" s="4">
        <f>DAY(F167)</f>
        <v>2</v>
      </c>
      <c r="E167" s="4" t="str">
        <f t="shared" si="2"/>
        <v>Sunday</v>
      </c>
      <c r="F167" s="3">
        <v>45018</v>
      </c>
      <c r="G167" s="4" t="s">
        <v>198</v>
      </c>
      <c r="H167" s="4" t="s">
        <v>8</v>
      </c>
      <c r="I167" s="4">
        <v>34</v>
      </c>
      <c r="J167" s="4" t="str" cm="1">
        <f t="array" ref="J167">_xlfn.IFS(I167&lt;30,"Young Adult", I167&lt;50,"Adult",I167 &gt;=50,"Seniors")</f>
        <v>Adult</v>
      </c>
      <c r="K167" s="4" t="s">
        <v>3</v>
      </c>
      <c r="L167" s="4">
        <v>4</v>
      </c>
      <c r="M167" s="5">
        <v>500</v>
      </c>
      <c r="N167">
        <f>L167*M167</f>
        <v>2000</v>
      </c>
      <c r="O167" s="15">
        <f>N167*$R$3</f>
        <v>30</v>
      </c>
    </row>
    <row r="168" spans="1:15">
      <c r="A168" s="2">
        <v>167</v>
      </c>
      <c r="B168" s="4">
        <f>YEAR(F168)</f>
        <v>2023</v>
      </c>
      <c r="C168" s="4">
        <f>MONTH(F168)</f>
        <v>9</v>
      </c>
      <c r="D168" s="4">
        <f>DAY(F168)</f>
        <v>17</v>
      </c>
      <c r="E168" s="4" t="str">
        <f t="shared" si="2"/>
        <v>Sunday</v>
      </c>
      <c r="F168" s="3">
        <v>45186</v>
      </c>
      <c r="G168" s="4" t="s">
        <v>199</v>
      </c>
      <c r="H168" s="4" t="s">
        <v>7</v>
      </c>
      <c r="I168" s="4">
        <v>43</v>
      </c>
      <c r="J168" s="4" t="str" cm="1">
        <f t="array" ref="J168">_xlfn.IFS(I168&lt;30,"Young Adult", I168&lt;50,"Adult",I168 &gt;=50,"Seniors")</f>
        <v>Adult</v>
      </c>
      <c r="K168" s="4" t="s">
        <v>3</v>
      </c>
      <c r="L168" s="4">
        <v>3</v>
      </c>
      <c r="M168" s="5">
        <v>50</v>
      </c>
      <c r="N168">
        <f>L168*M168</f>
        <v>150</v>
      </c>
      <c r="O168" s="15">
        <f>N168*$R$3</f>
        <v>2.25</v>
      </c>
    </row>
    <row r="169" spans="1:15">
      <c r="A169" s="2">
        <v>168</v>
      </c>
      <c r="B169" s="4">
        <f>YEAR(F169)</f>
        <v>2023</v>
      </c>
      <c r="C169" s="4">
        <f>MONTH(F169)</f>
        <v>2</v>
      </c>
      <c r="D169" s="4">
        <f>DAY(F169)</f>
        <v>24</v>
      </c>
      <c r="E169" s="4" t="str">
        <f t="shared" si="2"/>
        <v>Friday</v>
      </c>
      <c r="F169" s="3">
        <v>44981</v>
      </c>
      <c r="G169" s="4" t="s">
        <v>200</v>
      </c>
      <c r="H169" s="4" t="s">
        <v>8</v>
      </c>
      <c r="I169" s="4">
        <v>53</v>
      </c>
      <c r="J169" s="4" t="str" cm="1">
        <f t="array" ref="J169">_xlfn.IFS(I169&lt;30,"Young Adult", I169&lt;50,"Adult",I169 &gt;=50,"Seniors")</f>
        <v>Seniors</v>
      </c>
      <c r="K169" s="4" t="s">
        <v>3</v>
      </c>
      <c r="L169" s="4">
        <v>1</v>
      </c>
      <c r="M169" s="5">
        <v>300</v>
      </c>
      <c r="N169">
        <f>L169*M169</f>
        <v>300</v>
      </c>
      <c r="O169" s="15">
        <f>N169*$R$3</f>
        <v>4.5</v>
      </c>
    </row>
    <row r="170" spans="1:15">
      <c r="A170" s="2">
        <v>169</v>
      </c>
      <c r="B170" s="4">
        <f>YEAR(F170)</f>
        <v>2023</v>
      </c>
      <c r="C170" s="4">
        <f>MONTH(F170)</f>
        <v>11</v>
      </c>
      <c r="D170" s="4">
        <f>DAY(F170)</f>
        <v>17</v>
      </c>
      <c r="E170" s="4" t="str">
        <f t="shared" si="2"/>
        <v>Friday</v>
      </c>
      <c r="F170" s="3">
        <v>45247</v>
      </c>
      <c r="G170" s="4" t="s">
        <v>201</v>
      </c>
      <c r="H170" s="4" t="s">
        <v>8</v>
      </c>
      <c r="I170" s="4">
        <v>18</v>
      </c>
      <c r="J170" s="4" t="str" cm="1">
        <f t="array" ref="J170">_xlfn.IFS(I170&lt;30,"Young Adult", I170&lt;50,"Adult",I170 &gt;=50,"Seniors")</f>
        <v>Young Adult</v>
      </c>
      <c r="K170" s="4" t="s">
        <v>2</v>
      </c>
      <c r="L170" s="4">
        <v>3</v>
      </c>
      <c r="M170" s="5">
        <v>500</v>
      </c>
      <c r="N170">
        <f>L170*M170</f>
        <v>1500</v>
      </c>
      <c r="O170" s="15">
        <f>N170*$R$3</f>
        <v>22.5</v>
      </c>
    </row>
    <row r="171" spans="1:15">
      <c r="A171" s="2">
        <v>170</v>
      </c>
      <c r="B171" s="4">
        <f>YEAR(F171)</f>
        <v>2023</v>
      </c>
      <c r="C171" s="4">
        <f>MONTH(F171)</f>
        <v>6</v>
      </c>
      <c r="D171" s="4">
        <f>DAY(F171)</f>
        <v>2</v>
      </c>
      <c r="E171" s="4" t="str">
        <f t="shared" si="2"/>
        <v>Friday</v>
      </c>
      <c r="F171" s="3">
        <v>45079</v>
      </c>
      <c r="G171" s="4" t="s">
        <v>202</v>
      </c>
      <c r="H171" s="4" t="s">
        <v>7</v>
      </c>
      <c r="I171" s="4">
        <v>25</v>
      </c>
      <c r="J171" s="4" t="str" cm="1">
        <f t="array" ref="J171">_xlfn.IFS(I171&lt;30,"Young Adult", I171&lt;50,"Adult",I171 &gt;=50,"Seniors")</f>
        <v>Young Adult</v>
      </c>
      <c r="K171" s="4" t="s">
        <v>3</v>
      </c>
      <c r="L171" s="4">
        <v>2</v>
      </c>
      <c r="M171" s="5">
        <v>25</v>
      </c>
      <c r="N171">
        <f>L171*M171</f>
        <v>50</v>
      </c>
      <c r="O171" s="15">
        <f>N171*$R$3</f>
        <v>0.75</v>
      </c>
    </row>
    <row r="172" spans="1:15">
      <c r="A172" s="2">
        <v>171</v>
      </c>
      <c r="B172" s="4">
        <f>YEAR(F172)</f>
        <v>2023</v>
      </c>
      <c r="C172" s="4">
        <f>MONTH(F172)</f>
        <v>11</v>
      </c>
      <c r="D172" s="4">
        <f>DAY(F172)</f>
        <v>24</v>
      </c>
      <c r="E172" s="4" t="str">
        <f t="shared" si="2"/>
        <v>Friday</v>
      </c>
      <c r="F172" s="3">
        <v>45254</v>
      </c>
      <c r="G172" s="4" t="s">
        <v>203</v>
      </c>
      <c r="H172" s="4" t="s">
        <v>7</v>
      </c>
      <c r="I172" s="4">
        <v>52</v>
      </c>
      <c r="J172" s="4" t="str" cm="1">
        <f t="array" ref="J172">_xlfn.IFS(I172&lt;30,"Young Adult", I172&lt;50,"Adult",I172 &gt;=50,"Seniors")</f>
        <v>Seniors</v>
      </c>
      <c r="K172" s="4" t="s">
        <v>3</v>
      </c>
      <c r="L172" s="4">
        <v>3</v>
      </c>
      <c r="M172" s="5">
        <v>300</v>
      </c>
      <c r="N172">
        <f>L172*M172</f>
        <v>900</v>
      </c>
      <c r="O172" s="15">
        <f>N172*$R$3</f>
        <v>13.5</v>
      </c>
    </row>
    <row r="173" spans="1:15">
      <c r="A173" s="2">
        <v>172</v>
      </c>
      <c r="B173" s="4">
        <f>YEAR(F173)</f>
        <v>2023</v>
      </c>
      <c r="C173" s="4">
        <f>MONTH(F173)</f>
        <v>9</v>
      </c>
      <c r="D173" s="4">
        <f>DAY(F173)</f>
        <v>17</v>
      </c>
      <c r="E173" s="4" t="str">
        <f t="shared" si="2"/>
        <v>Sunday</v>
      </c>
      <c r="F173" s="3">
        <v>45186</v>
      </c>
      <c r="G173" s="4" t="s">
        <v>204</v>
      </c>
      <c r="H173" s="4" t="s">
        <v>8</v>
      </c>
      <c r="I173" s="4">
        <v>32</v>
      </c>
      <c r="J173" s="4" t="str" cm="1">
        <f t="array" ref="J173">_xlfn.IFS(I173&lt;30,"Young Adult", I173&lt;50,"Adult",I173 &gt;=50,"Seniors")</f>
        <v>Adult</v>
      </c>
      <c r="K173" s="4" t="s">
        <v>2</v>
      </c>
      <c r="L173" s="4">
        <v>2</v>
      </c>
      <c r="M173" s="5">
        <v>25</v>
      </c>
      <c r="N173">
        <f>L173*M173</f>
        <v>50</v>
      </c>
      <c r="O173" s="15">
        <f>N173*$R$3</f>
        <v>0.75</v>
      </c>
    </row>
    <row r="174" spans="1:15">
      <c r="A174" s="2">
        <v>173</v>
      </c>
      <c r="B174" s="4">
        <f>YEAR(F174)</f>
        <v>2023</v>
      </c>
      <c r="C174" s="4">
        <f>MONTH(F174)</f>
        <v>11</v>
      </c>
      <c r="D174" s="4">
        <f>DAY(F174)</f>
        <v>8</v>
      </c>
      <c r="E174" s="4" t="str">
        <f t="shared" si="2"/>
        <v>Wednesday</v>
      </c>
      <c r="F174" s="3">
        <v>45238</v>
      </c>
      <c r="G174" s="4" t="s">
        <v>205</v>
      </c>
      <c r="H174" s="4" t="s">
        <v>8</v>
      </c>
      <c r="I174" s="4">
        <v>64</v>
      </c>
      <c r="J174" s="4" t="str" cm="1">
        <f t="array" ref="J174">_xlfn.IFS(I174&lt;30,"Young Adult", I174&lt;50,"Adult",I174 &gt;=50,"Seniors")</f>
        <v>Seniors</v>
      </c>
      <c r="K174" s="4" t="s">
        <v>4</v>
      </c>
      <c r="L174" s="4">
        <v>4</v>
      </c>
      <c r="M174" s="5">
        <v>30</v>
      </c>
      <c r="N174">
        <f>L174*M174</f>
        <v>120</v>
      </c>
      <c r="O174" s="15">
        <f>N174*$R$3</f>
        <v>1.7999999999999998</v>
      </c>
    </row>
    <row r="175" spans="1:15">
      <c r="A175" s="2">
        <v>174</v>
      </c>
      <c r="B175" s="4">
        <f>YEAR(F175)</f>
        <v>2023</v>
      </c>
      <c r="C175" s="4">
        <f>MONTH(F175)</f>
        <v>4</v>
      </c>
      <c r="D175" s="4">
        <f>DAY(F175)</f>
        <v>12</v>
      </c>
      <c r="E175" s="4" t="str">
        <f t="shared" si="2"/>
        <v>Wednesday</v>
      </c>
      <c r="F175" s="3">
        <v>45028</v>
      </c>
      <c r="G175" s="4" t="s">
        <v>206</v>
      </c>
      <c r="H175" s="4" t="s">
        <v>7</v>
      </c>
      <c r="I175" s="4">
        <v>39</v>
      </c>
      <c r="J175" s="4" t="str" cm="1">
        <f t="array" ref="J175">_xlfn.IFS(I175&lt;30,"Young Adult", I175&lt;50,"Adult",I175 &gt;=50,"Seniors")</f>
        <v>Adult</v>
      </c>
      <c r="K175" s="4" t="s">
        <v>2</v>
      </c>
      <c r="L175" s="4">
        <v>1</v>
      </c>
      <c r="M175" s="5">
        <v>300</v>
      </c>
      <c r="N175">
        <f>L175*M175</f>
        <v>300</v>
      </c>
      <c r="O175" s="15">
        <f>N175*$R$3</f>
        <v>4.5</v>
      </c>
    </row>
    <row r="176" spans="1:15">
      <c r="A176" s="2">
        <v>175</v>
      </c>
      <c r="B176" s="4">
        <f>YEAR(F176)</f>
        <v>2023</v>
      </c>
      <c r="C176" s="4">
        <f>MONTH(F176)</f>
        <v>3</v>
      </c>
      <c r="D176" s="4">
        <f>DAY(F176)</f>
        <v>20</v>
      </c>
      <c r="E176" s="4" t="str">
        <f t="shared" si="2"/>
        <v>Monday</v>
      </c>
      <c r="F176" s="3">
        <v>45005</v>
      </c>
      <c r="G176" s="4" t="s">
        <v>207</v>
      </c>
      <c r="H176" s="4" t="s">
        <v>7</v>
      </c>
      <c r="I176" s="4">
        <v>31</v>
      </c>
      <c r="J176" s="4" t="str" cm="1">
        <f t="array" ref="J176">_xlfn.IFS(I176&lt;30,"Young Adult", I176&lt;50,"Adult",I176 &gt;=50,"Seniors")</f>
        <v>Adult</v>
      </c>
      <c r="K176" s="4" t="s">
        <v>4</v>
      </c>
      <c r="L176" s="4">
        <v>4</v>
      </c>
      <c r="M176" s="5">
        <v>25</v>
      </c>
      <c r="N176">
        <f>L176*M176</f>
        <v>100</v>
      </c>
      <c r="O176" s="15">
        <f>N176*$R$3</f>
        <v>1.5</v>
      </c>
    </row>
    <row r="177" spans="1:15">
      <c r="A177" s="2">
        <v>176</v>
      </c>
      <c r="B177" s="4">
        <f>YEAR(F177)</f>
        <v>2023</v>
      </c>
      <c r="C177" s="4">
        <f>MONTH(F177)</f>
        <v>7</v>
      </c>
      <c r="D177" s="4">
        <f>DAY(F177)</f>
        <v>11</v>
      </c>
      <c r="E177" s="4" t="str">
        <f t="shared" si="2"/>
        <v>Tuesday</v>
      </c>
      <c r="F177" s="3">
        <v>45118</v>
      </c>
      <c r="G177" s="4" t="s">
        <v>208</v>
      </c>
      <c r="H177" s="4" t="s">
        <v>7</v>
      </c>
      <c r="I177" s="4">
        <v>43</v>
      </c>
      <c r="J177" s="4" t="str" cm="1">
        <f t="array" ref="J177">_xlfn.IFS(I177&lt;30,"Young Adult", I177&lt;50,"Adult",I177 &gt;=50,"Seniors")</f>
        <v>Adult</v>
      </c>
      <c r="K177" s="4" t="s">
        <v>2</v>
      </c>
      <c r="L177" s="4">
        <v>2</v>
      </c>
      <c r="M177" s="5">
        <v>50</v>
      </c>
      <c r="N177">
        <f>L177*M177</f>
        <v>100</v>
      </c>
      <c r="O177" s="15">
        <f>N177*$R$3</f>
        <v>1.5</v>
      </c>
    </row>
    <row r="178" spans="1:15">
      <c r="A178" s="2">
        <v>177</v>
      </c>
      <c r="B178" s="4">
        <f>YEAR(F178)</f>
        <v>2023</v>
      </c>
      <c r="C178" s="4">
        <f>MONTH(F178)</f>
        <v>3</v>
      </c>
      <c r="D178" s="4">
        <f>DAY(F178)</f>
        <v>24</v>
      </c>
      <c r="E178" s="4" t="str">
        <f t="shared" si="2"/>
        <v>Friday</v>
      </c>
      <c r="F178" s="3">
        <v>45009</v>
      </c>
      <c r="G178" s="4" t="s">
        <v>209</v>
      </c>
      <c r="H178" s="4" t="s">
        <v>8</v>
      </c>
      <c r="I178" s="4">
        <v>45</v>
      </c>
      <c r="J178" s="4" t="str" cm="1">
        <f t="array" ref="J178">_xlfn.IFS(I178&lt;30,"Young Adult", I178&lt;50,"Adult",I178 &gt;=50,"Seniors")</f>
        <v>Adult</v>
      </c>
      <c r="K178" s="4" t="s">
        <v>2</v>
      </c>
      <c r="L178" s="4">
        <v>2</v>
      </c>
      <c r="M178" s="5">
        <v>50</v>
      </c>
      <c r="N178">
        <f>L178*M178</f>
        <v>100</v>
      </c>
      <c r="O178" s="15">
        <f>N178*$R$3</f>
        <v>1.5</v>
      </c>
    </row>
    <row r="179" spans="1:15">
      <c r="A179" s="2">
        <v>178</v>
      </c>
      <c r="B179" s="4">
        <f>YEAR(F179)</f>
        <v>2023</v>
      </c>
      <c r="C179" s="4">
        <f>MONTH(F179)</f>
        <v>10</v>
      </c>
      <c r="D179" s="4">
        <f>DAY(F179)</f>
        <v>4</v>
      </c>
      <c r="E179" s="4" t="str">
        <f t="shared" si="2"/>
        <v>Wednesday</v>
      </c>
      <c r="F179" s="3">
        <v>45203</v>
      </c>
      <c r="G179" s="4" t="s">
        <v>210</v>
      </c>
      <c r="H179" s="4" t="s">
        <v>8</v>
      </c>
      <c r="I179" s="4">
        <v>40</v>
      </c>
      <c r="J179" s="4" t="str" cm="1">
        <f t="array" ref="J179">_xlfn.IFS(I179&lt;30,"Young Adult", I179&lt;50,"Adult",I179 &gt;=50,"Seniors")</f>
        <v>Adult</v>
      </c>
      <c r="K179" s="4" t="s">
        <v>3</v>
      </c>
      <c r="L179" s="4">
        <v>2</v>
      </c>
      <c r="M179" s="5">
        <v>30</v>
      </c>
      <c r="N179">
        <f>L179*M179</f>
        <v>60</v>
      </c>
      <c r="O179" s="15">
        <f>N179*$R$3</f>
        <v>0.89999999999999991</v>
      </c>
    </row>
    <row r="180" spans="1:15">
      <c r="A180" s="2">
        <v>179</v>
      </c>
      <c r="B180" s="4">
        <f>YEAR(F180)</f>
        <v>2023</v>
      </c>
      <c r="C180" s="4">
        <f>MONTH(F180)</f>
        <v>9</v>
      </c>
      <c r="D180" s="4">
        <f>DAY(F180)</f>
        <v>29</v>
      </c>
      <c r="E180" s="4" t="str">
        <f t="shared" si="2"/>
        <v>Friday</v>
      </c>
      <c r="F180" s="3">
        <v>45198</v>
      </c>
      <c r="G180" s="4" t="s">
        <v>211</v>
      </c>
      <c r="H180" s="4" t="s">
        <v>8</v>
      </c>
      <c r="I180" s="4">
        <v>31</v>
      </c>
      <c r="J180" s="4" t="str" cm="1">
        <f t="array" ref="J180">_xlfn.IFS(I180&lt;30,"Young Adult", I180&lt;50,"Adult",I180 &gt;=50,"Seniors")</f>
        <v>Adult</v>
      </c>
      <c r="K180" s="4" t="s">
        <v>4</v>
      </c>
      <c r="L180" s="4">
        <v>1</v>
      </c>
      <c r="M180" s="5">
        <v>300</v>
      </c>
      <c r="N180">
        <f>L180*M180</f>
        <v>300</v>
      </c>
      <c r="O180" s="15">
        <f>N180*$R$3</f>
        <v>4.5</v>
      </c>
    </row>
    <row r="181" spans="1:15">
      <c r="A181" s="2">
        <v>180</v>
      </c>
      <c r="B181" s="4">
        <f>YEAR(F181)</f>
        <v>2023</v>
      </c>
      <c r="C181" s="4">
        <f>MONTH(F181)</f>
        <v>1</v>
      </c>
      <c r="D181" s="4">
        <f>DAY(F181)</f>
        <v>1</v>
      </c>
      <c r="E181" s="4" t="str">
        <f t="shared" si="2"/>
        <v>Sunday</v>
      </c>
      <c r="F181" s="3">
        <v>44927</v>
      </c>
      <c r="G181" s="4" t="s">
        <v>212</v>
      </c>
      <c r="H181" s="4" t="s">
        <v>8</v>
      </c>
      <c r="I181" s="4">
        <v>41</v>
      </c>
      <c r="J181" s="4" t="str" cm="1">
        <f t="array" ref="J181">_xlfn.IFS(I181&lt;30,"Young Adult", I181&lt;50,"Adult",I181 &gt;=50,"Seniors")</f>
        <v>Adult</v>
      </c>
      <c r="K181" s="4" t="s">
        <v>3</v>
      </c>
      <c r="L181" s="4">
        <v>3</v>
      </c>
      <c r="M181" s="5">
        <v>300</v>
      </c>
      <c r="N181">
        <f>L181*M181</f>
        <v>900</v>
      </c>
      <c r="O181" s="15">
        <f>N181*$R$3</f>
        <v>13.5</v>
      </c>
    </row>
    <row r="182" spans="1:15">
      <c r="A182" s="2">
        <v>181</v>
      </c>
      <c r="B182" s="4">
        <f>YEAR(F182)</f>
        <v>2023</v>
      </c>
      <c r="C182" s="4">
        <f>MONTH(F182)</f>
        <v>11</v>
      </c>
      <c r="D182" s="4">
        <f>DAY(F182)</f>
        <v>3</v>
      </c>
      <c r="E182" s="4" t="str">
        <f t="shared" si="2"/>
        <v>Friday</v>
      </c>
      <c r="F182" s="3">
        <v>45233</v>
      </c>
      <c r="G182" s="4" t="s">
        <v>213</v>
      </c>
      <c r="H182" s="4" t="s">
        <v>8</v>
      </c>
      <c r="I182" s="4">
        <v>19</v>
      </c>
      <c r="J182" s="4" t="str" cm="1">
        <f t="array" ref="J182">_xlfn.IFS(I182&lt;30,"Young Adult", I182&lt;50,"Adult",I182 &gt;=50,"Seniors")</f>
        <v>Young Adult</v>
      </c>
      <c r="K182" s="4" t="s">
        <v>4</v>
      </c>
      <c r="L182" s="4">
        <v>4</v>
      </c>
      <c r="M182" s="5">
        <v>300</v>
      </c>
      <c r="N182">
        <f>L182*M182</f>
        <v>1200</v>
      </c>
      <c r="O182" s="15">
        <f>N182*$R$3</f>
        <v>18</v>
      </c>
    </row>
    <row r="183" spans="1:15">
      <c r="A183" s="2">
        <v>182</v>
      </c>
      <c r="B183" s="4">
        <f>YEAR(F183)</f>
        <v>2023</v>
      </c>
      <c r="C183" s="4">
        <f>MONTH(F183)</f>
        <v>6</v>
      </c>
      <c r="D183" s="4">
        <f>DAY(F183)</f>
        <v>15</v>
      </c>
      <c r="E183" s="4" t="str">
        <f t="shared" si="2"/>
        <v>Thursday</v>
      </c>
      <c r="F183" s="3">
        <v>45092</v>
      </c>
      <c r="G183" s="4" t="s">
        <v>214</v>
      </c>
      <c r="H183" s="4" t="s">
        <v>8</v>
      </c>
      <c r="I183" s="4">
        <v>62</v>
      </c>
      <c r="J183" s="4" t="str" cm="1">
        <f t="array" ref="J183">_xlfn.IFS(I183&lt;30,"Young Adult", I183&lt;50,"Adult",I183 &gt;=50,"Seniors")</f>
        <v>Seniors</v>
      </c>
      <c r="K183" s="4" t="s">
        <v>2</v>
      </c>
      <c r="L183" s="4">
        <v>4</v>
      </c>
      <c r="M183" s="5">
        <v>30</v>
      </c>
      <c r="N183">
        <f>L183*M183</f>
        <v>120</v>
      </c>
      <c r="O183" s="15">
        <f>N183*$R$3</f>
        <v>1.7999999999999998</v>
      </c>
    </row>
    <row r="184" spans="1:15">
      <c r="A184" s="2">
        <v>183</v>
      </c>
      <c r="B184" s="4">
        <f>YEAR(F184)</f>
        <v>2023</v>
      </c>
      <c r="C184" s="4">
        <f>MONTH(F184)</f>
        <v>9</v>
      </c>
      <c r="D184" s="4">
        <f>DAY(F184)</f>
        <v>8</v>
      </c>
      <c r="E184" s="4" t="str">
        <f t="shared" si="2"/>
        <v>Friday</v>
      </c>
      <c r="F184" s="3">
        <v>45177</v>
      </c>
      <c r="G184" s="4" t="s">
        <v>215</v>
      </c>
      <c r="H184" s="4" t="s">
        <v>7</v>
      </c>
      <c r="I184" s="4">
        <v>43</v>
      </c>
      <c r="J184" s="4" t="str" cm="1">
        <f t="array" ref="J184">_xlfn.IFS(I184&lt;30,"Young Adult", I184&lt;50,"Adult",I184 &gt;=50,"Seniors")</f>
        <v>Adult</v>
      </c>
      <c r="K184" s="4" t="s">
        <v>2</v>
      </c>
      <c r="L184" s="4">
        <v>3</v>
      </c>
      <c r="M184" s="5">
        <v>300</v>
      </c>
      <c r="N184">
        <f>L184*M184</f>
        <v>900</v>
      </c>
      <c r="O184" s="15">
        <f>N184*$R$3</f>
        <v>13.5</v>
      </c>
    </row>
    <row r="185" spans="1:15">
      <c r="A185" s="2">
        <v>184</v>
      </c>
      <c r="B185" s="4">
        <f>YEAR(F185)</f>
        <v>2023</v>
      </c>
      <c r="C185" s="4">
        <f>MONTH(F185)</f>
        <v>1</v>
      </c>
      <c r="D185" s="4">
        <f>DAY(F185)</f>
        <v>10</v>
      </c>
      <c r="E185" s="4" t="str">
        <f t="shared" si="2"/>
        <v>Tuesday</v>
      </c>
      <c r="F185" s="3">
        <v>44936</v>
      </c>
      <c r="G185" s="4" t="s">
        <v>216</v>
      </c>
      <c r="H185" s="4" t="s">
        <v>8</v>
      </c>
      <c r="I185" s="4">
        <v>31</v>
      </c>
      <c r="J185" s="4" t="str" cm="1">
        <f t="array" ref="J185">_xlfn.IFS(I185&lt;30,"Young Adult", I185&lt;50,"Adult",I185 &gt;=50,"Seniors")</f>
        <v>Adult</v>
      </c>
      <c r="K185" s="4" t="s">
        <v>4</v>
      </c>
      <c r="L185" s="4">
        <v>4</v>
      </c>
      <c r="M185" s="5">
        <v>50</v>
      </c>
      <c r="N185">
        <f>L185*M185</f>
        <v>200</v>
      </c>
      <c r="O185" s="15">
        <f>N185*$R$3</f>
        <v>3</v>
      </c>
    </row>
    <row r="186" spans="1:15">
      <c r="A186" s="2">
        <v>185</v>
      </c>
      <c r="B186" s="4">
        <f>YEAR(F186)</f>
        <v>2023</v>
      </c>
      <c r="C186" s="4">
        <f>MONTH(F186)</f>
        <v>2</v>
      </c>
      <c r="D186" s="4">
        <f>DAY(F186)</f>
        <v>27</v>
      </c>
      <c r="E186" s="4" t="str">
        <f t="shared" si="2"/>
        <v>Monday</v>
      </c>
      <c r="F186" s="3">
        <v>44984</v>
      </c>
      <c r="G186" s="4" t="s">
        <v>217</v>
      </c>
      <c r="H186" s="4" t="s">
        <v>8</v>
      </c>
      <c r="I186" s="4">
        <v>24</v>
      </c>
      <c r="J186" s="4" t="str" cm="1">
        <f t="array" ref="J186">_xlfn.IFS(I186&lt;30,"Young Adult", I186&lt;50,"Adult",I186 &gt;=50,"Seniors")</f>
        <v>Young Adult</v>
      </c>
      <c r="K186" s="4" t="s">
        <v>3</v>
      </c>
      <c r="L186" s="4">
        <v>1</v>
      </c>
      <c r="M186" s="5">
        <v>25</v>
      </c>
      <c r="N186">
        <f>L186*M186</f>
        <v>25</v>
      </c>
      <c r="O186" s="15">
        <f>N186*$R$3</f>
        <v>0.375</v>
      </c>
    </row>
    <row r="187" spans="1:15">
      <c r="A187" s="2">
        <v>186</v>
      </c>
      <c r="B187" s="4">
        <f>YEAR(F187)</f>
        <v>2023</v>
      </c>
      <c r="C187" s="4">
        <f>MONTH(F187)</f>
        <v>7</v>
      </c>
      <c r="D187" s="4">
        <f>DAY(F187)</f>
        <v>5</v>
      </c>
      <c r="E187" s="4" t="str">
        <f t="shared" si="2"/>
        <v>Wednesday</v>
      </c>
      <c r="F187" s="3">
        <v>45112</v>
      </c>
      <c r="G187" s="4" t="s">
        <v>218</v>
      </c>
      <c r="H187" s="4" t="s">
        <v>8</v>
      </c>
      <c r="I187" s="4">
        <v>20</v>
      </c>
      <c r="J187" s="4" t="str" cm="1">
        <f t="array" ref="J187">_xlfn.IFS(I187&lt;30,"Young Adult", I187&lt;50,"Adult",I187 &gt;=50,"Seniors")</f>
        <v>Young Adult</v>
      </c>
      <c r="K187" s="4" t="s">
        <v>3</v>
      </c>
      <c r="L187" s="4">
        <v>4</v>
      </c>
      <c r="M187" s="5">
        <v>50</v>
      </c>
      <c r="N187">
        <f>L187*M187</f>
        <v>200</v>
      </c>
      <c r="O187" s="15">
        <f>N187*$R$3</f>
        <v>3</v>
      </c>
    </row>
    <row r="188" spans="1:15">
      <c r="A188" s="2">
        <v>187</v>
      </c>
      <c r="B188" s="4">
        <f>YEAR(F188)</f>
        <v>2023</v>
      </c>
      <c r="C188" s="4">
        <f>MONTH(F188)</f>
        <v>6</v>
      </c>
      <c r="D188" s="4">
        <f>DAY(F188)</f>
        <v>7</v>
      </c>
      <c r="E188" s="4" t="str">
        <f t="shared" si="2"/>
        <v>Wednesday</v>
      </c>
      <c r="F188" s="3">
        <v>45084</v>
      </c>
      <c r="G188" s="4" t="s">
        <v>219</v>
      </c>
      <c r="H188" s="4" t="s">
        <v>7</v>
      </c>
      <c r="I188" s="4">
        <v>64</v>
      </c>
      <c r="J188" s="4" t="str" cm="1">
        <f t="array" ref="J188">_xlfn.IFS(I188&lt;30,"Young Adult", I188&lt;50,"Adult",I188 &gt;=50,"Seniors")</f>
        <v>Seniors</v>
      </c>
      <c r="K188" s="4" t="s">
        <v>3</v>
      </c>
      <c r="L188" s="4">
        <v>2</v>
      </c>
      <c r="M188" s="5">
        <v>50</v>
      </c>
      <c r="N188">
        <f>L188*M188</f>
        <v>100</v>
      </c>
      <c r="O188" s="15">
        <f>N188*$R$3</f>
        <v>1.5</v>
      </c>
    </row>
    <row r="189" spans="1:15">
      <c r="A189" s="2">
        <v>188</v>
      </c>
      <c r="B189" s="4">
        <f>YEAR(F189)</f>
        <v>2023</v>
      </c>
      <c r="C189" s="4">
        <f>MONTH(F189)</f>
        <v>5</v>
      </c>
      <c r="D189" s="4">
        <f>DAY(F189)</f>
        <v>3</v>
      </c>
      <c r="E189" s="4" t="str">
        <f t="shared" si="2"/>
        <v>Wednesday</v>
      </c>
      <c r="F189" s="3">
        <v>45049</v>
      </c>
      <c r="G189" s="4" t="s">
        <v>220</v>
      </c>
      <c r="H189" s="4" t="s">
        <v>8</v>
      </c>
      <c r="I189" s="4">
        <v>40</v>
      </c>
      <c r="J189" s="4" t="str" cm="1">
        <f t="array" ref="J189">_xlfn.IFS(I189&lt;30,"Young Adult", I189&lt;50,"Adult",I189 &gt;=50,"Seniors")</f>
        <v>Adult</v>
      </c>
      <c r="K189" s="4" t="s">
        <v>3</v>
      </c>
      <c r="L189" s="4">
        <v>3</v>
      </c>
      <c r="M189" s="5">
        <v>25</v>
      </c>
      <c r="N189">
        <f>L189*M189</f>
        <v>75</v>
      </c>
      <c r="O189" s="15">
        <f>N189*$R$3</f>
        <v>1.125</v>
      </c>
    </row>
    <row r="190" spans="1:15">
      <c r="A190" s="2">
        <v>189</v>
      </c>
      <c r="B190" s="4">
        <f>YEAR(F190)</f>
        <v>2023</v>
      </c>
      <c r="C190" s="4">
        <f>MONTH(F190)</f>
        <v>1</v>
      </c>
      <c r="D190" s="4">
        <f>DAY(F190)</f>
        <v>30</v>
      </c>
      <c r="E190" s="4" t="str">
        <f t="shared" si="2"/>
        <v>Monday</v>
      </c>
      <c r="F190" s="3">
        <v>44956</v>
      </c>
      <c r="G190" s="4" t="s">
        <v>221</v>
      </c>
      <c r="H190" s="4" t="s">
        <v>8</v>
      </c>
      <c r="I190" s="4">
        <v>63</v>
      </c>
      <c r="J190" s="4" t="str" cm="1">
        <f t="array" ref="J190">_xlfn.IFS(I190&lt;30,"Young Adult", I190&lt;50,"Adult",I190 &gt;=50,"Seniors")</f>
        <v>Seniors</v>
      </c>
      <c r="K190" s="4" t="s">
        <v>2</v>
      </c>
      <c r="L190" s="4">
        <v>1</v>
      </c>
      <c r="M190" s="5">
        <v>50</v>
      </c>
      <c r="N190">
        <f>L190*M190</f>
        <v>50</v>
      </c>
      <c r="O190" s="15">
        <f>N190*$R$3</f>
        <v>0.75</v>
      </c>
    </row>
    <row r="191" spans="1:15">
      <c r="A191" s="2">
        <v>190</v>
      </c>
      <c r="B191" s="4">
        <f>YEAR(F191)</f>
        <v>2023</v>
      </c>
      <c r="C191" s="4">
        <f>MONTH(F191)</f>
        <v>5</v>
      </c>
      <c r="D191" s="4">
        <f>DAY(F191)</f>
        <v>4</v>
      </c>
      <c r="E191" s="4" t="str">
        <f t="shared" si="2"/>
        <v>Thursday</v>
      </c>
      <c r="F191" s="3">
        <v>45050</v>
      </c>
      <c r="G191" s="4" t="s">
        <v>222</v>
      </c>
      <c r="H191" s="4" t="s">
        <v>7</v>
      </c>
      <c r="I191" s="4">
        <v>60</v>
      </c>
      <c r="J191" s="4" t="str" cm="1">
        <f t="array" ref="J191">_xlfn.IFS(I191&lt;30,"Young Adult", I191&lt;50,"Adult",I191 &gt;=50,"Seniors")</f>
        <v>Seniors</v>
      </c>
      <c r="K191" s="4" t="s">
        <v>2</v>
      </c>
      <c r="L191" s="4">
        <v>3</v>
      </c>
      <c r="M191" s="5">
        <v>30</v>
      </c>
      <c r="N191">
        <f>L191*M191</f>
        <v>90</v>
      </c>
      <c r="O191" s="15">
        <f>N191*$R$3</f>
        <v>1.3499999999999999</v>
      </c>
    </row>
    <row r="192" spans="1:15">
      <c r="A192" s="2">
        <v>191</v>
      </c>
      <c r="B192" s="4">
        <f>YEAR(F192)</f>
        <v>2023</v>
      </c>
      <c r="C192" s="4">
        <f>MONTH(F192)</f>
        <v>10</v>
      </c>
      <c r="D192" s="4">
        <f>DAY(F192)</f>
        <v>18</v>
      </c>
      <c r="E192" s="4" t="str">
        <f t="shared" si="2"/>
        <v>Wednesday</v>
      </c>
      <c r="F192" s="3">
        <v>45217</v>
      </c>
      <c r="G192" s="4" t="s">
        <v>223</v>
      </c>
      <c r="H192" s="4" t="s">
        <v>8</v>
      </c>
      <c r="I192" s="4">
        <v>64</v>
      </c>
      <c r="J192" s="4" t="str" cm="1">
        <f t="array" ref="J192">_xlfn.IFS(I192&lt;30,"Young Adult", I192&lt;50,"Adult",I192 &gt;=50,"Seniors")</f>
        <v>Seniors</v>
      </c>
      <c r="K192" s="4" t="s">
        <v>2</v>
      </c>
      <c r="L192" s="4">
        <v>1</v>
      </c>
      <c r="M192" s="5">
        <v>25</v>
      </c>
      <c r="N192">
        <f>L192*M192</f>
        <v>25</v>
      </c>
      <c r="O192" s="15">
        <f>N192*$R$3</f>
        <v>0.375</v>
      </c>
    </row>
    <row r="193" spans="1:15">
      <c r="A193" s="2">
        <v>192</v>
      </c>
      <c r="B193" s="4">
        <f>YEAR(F193)</f>
        <v>2023</v>
      </c>
      <c r="C193" s="4">
        <f>MONTH(F193)</f>
        <v>2</v>
      </c>
      <c r="D193" s="4">
        <f>DAY(F193)</f>
        <v>10</v>
      </c>
      <c r="E193" s="4" t="str">
        <f t="shared" si="2"/>
        <v>Friday</v>
      </c>
      <c r="F193" s="3">
        <v>44967</v>
      </c>
      <c r="G193" s="4" t="s">
        <v>224</v>
      </c>
      <c r="H193" s="4" t="s">
        <v>8</v>
      </c>
      <c r="I193" s="4">
        <v>62</v>
      </c>
      <c r="J193" s="4" t="str" cm="1">
        <f t="array" ref="J193">_xlfn.IFS(I193&lt;30,"Young Adult", I193&lt;50,"Adult",I193 &gt;=50,"Seniors")</f>
        <v>Seniors</v>
      </c>
      <c r="K193" s="4" t="s">
        <v>2</v>
      </c>
      <c r="L193" s="4">
        <v>2</v>
      </c>
      <c r="M193" s="5">
        <v>50</v>
      </c>
      <c r="N193">
        <f>L193*M193</f>
        <v>100</v>
      </c>
      <c r="O193" s="15">
        <f>N193*$R$3</f>
        <v>1.5</v>
      </c>
    </row>
    <row r="194" spans="1:15">
      <c r="A194" s="2">
        <v>193</v>
      </c>
      <c r="B194" s="4">
        <f>YEAR(F194)</f>
        <v>2023</v>
      </c>
      <c r="C194" s="4">
        <f>MONTH(F194)</f>
        <v>2</v>
      </c>
      <c r="D194" s="4">
        <f>DAY(F194)</f>
        <v>13</v>
      </c>
      <c r="E194" s="4" t="str">
        <f t="shared" si="2"/>
        <v>Monday</v>
      </c>
      <c r="F194" s="3">
        <v>44970</v>
      </c>
      <c r="G194" s="4" t="s">
        <v>225</v>
      </c>
      <c r="H194" s="4" t="s">
        <v>8</v>
      </c>
      <c r="I194" s="4">
        <v>35</v>
      </c>
      <c r="J194" s="4" t="str" cm="1">
        <f t="array" ref="J194">_xlfn.IFS(I194&lt;30,"Young Adult", I194&lt;50,"Adult",I194 &gt;=50,"Seniors")</f>
        <v>Adult</v>
      </c>
      <c r="K194" s="4" t="s">
        <v>2</v>
      </c>
      <c r="L194" s="4">
        <v>3</v>
      </c>
      <c r="M194" s="5">
        <v>500</v>
      </c>
      <c r="N194">
        <f>L194*M194</f>
        <v>1500</v>
      </c>
      <c r="O194" s="15">
        <f>N194*$R$3</f>
        <v>22.5</v>
      </c>
    </row>
    <row r="195" spans="1:15">
      <c r="A195" s="2">
        <v>194</v>
      </c>
      <c r="B195" s="4">
        <f>YEAR(F195)</f>
        <v>2023</v>
      </c>
      <c r="C195" s="4">
        <f>MONTH(F195)</f>
        <v>9</v>
      </c>
      <c r="D195" s="4">
        <f>DAY(F195)</f>
        <v>6</v>
      </c>
      <c r="E195" s="4" t="str">
        <f t="shared" ref="E195:E258" si="3">TEXT(F195,"dddd")</f>
        <v>Wednesday</v>
      </c>
      <c r="F195" s="3">
        <v>45175</v>
      </c>
      <c r="G195" s="4" t="s">
        <v>226</v>
      </c>
      <c r="H195" s="4" t="s">
        <v>8</v>
      </c>
      <c r="I195" s="4">
        <v>55</v>
      </c>
      <c r="J195" s="4" t="str" cm="1">
        <f t="array" ref="J195">_xlfn.IFS(I195&lt;30,"Young Adult", I195&lt;50,"Adult",I195 &gt;=50,"Seniors")</f>
        <v>Seniors</v>
      </c>
      <c r="K195" s="4" t="s">
        <v>3</v>
      </c>
      <c r="L195" s="4">
        <v>4</v>
      </c>
      <c r="M195" s="5">
        <v>50</v>
      </c>
      <c r="N195">
        <f>L195*M195</f>
        <v>200</v>
      </c>
      <c r="O195" s="15">
        <f>N195*$R$3</f>
        <v>3</v>
      </c>
    </row>
    <row r="196" spans="1:15">
      <c r="A196" s="2">
        <v>195</v>
      </c>
      <c r="B196" s="4">
        <f>YEAR(F196)</f>
        <v>2023</v>
      </c>
      <c r="C196" s="4">
        <f>MONTH(F196)</f>
        <v>2</v>
      </c>
      <c r="D196" s="4">
        <f>DAY(F196)</f>
        <v>5</v>
      </c>
      <c r="E196" s="4" t="str">
        <f t="shared" si="3"/>
        <v>Sunday</v>
      </c>
      <c r="F196" s="3">
        <v>44962</v>
      </c>
      <c r="G196" s="4" t="s">
        <v>227</v>
      </c>
      <c r="H196" s="4" t="s">
        <v>8</v>
      </c>
      <c r="I196" s="4">
        <v>52</v>
      </c>
      <c r="J196" s="4" t="str" cm="1">
        <f t="array" ref="J196">_xlfn.IFS(I196&lt;30,"Young Adult", I196&lt;50,"Adult",I196 &gt;=50,"Seniors")</f>
        <v>Seniors</v>
      </c>
      <c r="K196" s="4" t="s">
        <v>3</v>
      </c>
      <c r="L196" s="4">
        <v>1</v>
      </c>
      <c r="M196" s="5">
        <v>30</v>
      </c>
      <c r="N196">
        <f>L196*M196</f>
        <v>30</v>
      </c>
      <c r="O196" s="15">
        <f>N196*$R$3</f>
        <v>0.44999999999999996</v>
      </c>
    </row>
    <row r="197" spans="1:15">
      <c r="A197" s="2">
        <v>196</v>
      </c>
      <c r="B197" s="4">
        <f>YEAR(F197)</f>
        <v>2023</v>
      </c>
      <c r="C197" s="4">
        <f>MONTH(F197)</f>
        <v>9</v>
      </c>
      <c r="D197" s="4">
        <f>DAY(F197)</f>
        <v>30</v>
      </c>
      <c r="E197" s="4" t="str">
        <f t="shared" si="3"/>
        <v>Saturday</v>
      </c>
      <c r="F197" s="3">
        <v>45199</v>
      </c>
      <c r="G197" s="4" t="s">
        <v>228</v>
      </c>
      <c r="H197" s="4" t="s">
        <v>7</v>
      </c>
      <c r="I197" s="4">
        <v>32</v>
      </c>
      <c r="J197" s="4" t="str" cm="1">
        <f t="array" ref="J197">_xlfn.IFS(I197&lt;30,"Young Adult", I197&lt;50,"Adult",I197 &gt;=50,"Seniors")</f>
        <v>Adult</v>
      </c>
      <c r="K197" s="4" t="s">
        <v>3</v>
      </c>
      <c r="L197" s="4">
        <v>3</v>
      </c>
      <c r="M197" s="5">
        <v>300</v>
      </c>
      <c r="N197">
        <f>L197*M197</f>
        <v>900</v>
      </c>
      <c r="O197" s="15">
        <f>N197*$R$3</f>
        <v>13.5</v>
      </c>
    </row>
    <row r="198" spans="1:15">
      <c r="A198" s="2">
        <v>197</v>
      </c>
      <c r="B198" s="4">
        <f>YEAR(F198)</f>
        <v>2023</v>
      </c>
      <c r="C198" s="4">
        <f>MONTH(F198)</f>
        <v>3</v>
      </c>
      <c r="D198" s="4">
        <f>DAY(F198)</f>
        <v>6</v>
      </c>
      <c r="E198" s="4" t="str">
        <f t="shared" si="3"/>
        <v>Monday</v>
      </c>
      <c r="F198" s="3">
        <v>44991</v>
      </c>
      <c r="G198" s="4" t="s">
        <v>229</v>
      </c>
      <c r="H198" s="4" t="s">
        <v>7</v>
      </c>
      <c r="I198" s="4">
        <v>42</v>
      </c>
      <c r="J198" s="4" t="str" cm="1">
        <f t="array" ref="J198">_xlfn.IFS(I198&lt;30,"Young Adult", I198&lt;50,"Adult",I198 &gt;=50,"Seniors")</f>
        <v>Adult</v>
      </c>
      <c r="K198" s="4" t="s">
        <v>3</v>
      </c>
      <c r="L198" s="4">
        <v>4</v>
      </c>
      <c r="M198" s="5">
        <v>50</v>
      </c>
      <c r="N198">
        <f>L198*M198</f>
        <v>200</v>
      </c>
      <c r="O198" s="15">
        <f>N198*$R$3</f>
        <v>3</v>
      </c>
    </row>
    <row r="199" spans="1:15">
      <c r="A199" s="2">
        <v>198</v>
      </c>
      <c r="B199" s="4">
        <f>YEAR(F199)</f>
        <v>2023</v>
      </c>
      <c r="C199" s="4">
        <f>MONTH(F199)</f>
        <v>3</v>
      </c>
      <c r="D199" s="4">
        <f>DAY(F199)</f>
        <v>7</v>
      </c>
      <c r="E199" s="4" t="str">
        <f t="shared" si="3"/>
        <v>Tuesday</v>
      </c>
      <c r="F199" s="3">
        <v>44992</v>
      </c>
      <c r="G199" s="4" t="s">
        <v>230</v>
      </c>
      <c r="H199" s="4" t="s">
        <v>7</v>
      </c>
      <c r="I199" s="4">
        <v>54</v>
      </c>
      <c r="J199" s="4" t="str" cm="1">
        <f t="array" ref="J199">_xlfn.IFS(I199&lt;30,"Young Adult", I199&lt;50,"Adult",I199 &gt;=50,"Seniors")</f>
        <v>Seniors</v>
      </c>
      <c r="K199" s="4" t="s">
        <v>2</v>
      </c>
      <c r="L199" s="4">
        <v>3</v>
      </c>
      <c r="M199" s="5">
        <v>300</v>
      </c>
      <c r="N199">
        <f>L199*M199</f>
        <v>900</v>
      </c>
      <c r="O199" s="15">
        <f>N199*$R$3</f>
        <v>13.5</v>
      </c>
    </row>
    <row r="200" spans="1:15">
      <c r="A200" s="2">
        <v>199</v>
      </c>
      <c r="B200" s="4">
        <f>YEAR(F200)</f>
        <v>2023</v>
      </c>
      <c r="C200" s="4">
        <f>MONTH(F200)</f>
        <v>12</v>
      </c>
      <c r="D200" s="4">
        <f>DAY(F200)</f>
        <v>4</v>
      </c>
      <c r="E200" s="4" t="str">
        <f t="shared" si="3"/>
        <v>Monday</v>
      </c>
      <c r="F200" s="3">
        <v>45264</v>
      </c>
      <c r="G200" s="4" t="s">
        <v>231</v>
      </c>
      <c r="H200" s="4" t="s">
        <v>8</v>
      </c>
      <c r="I200" s="4">
        <v>45</v>
      </c>
      <c r="J200" s="4" t="str" cm="1">
        <f t="array" ref="J200">_xlfn.IFS(I200&lt;30,"Young Adult", I200&lt;50,"Adult",I200 &gt;=50,"Seniors")</f>
        <v>Adult</v>
      </c>
      <c r="K200" s="4" t="s">
        <v>2</v>
      </c>
      <c r="L200" s="4">
        <v>3</v>
      </c>
      <c r="M200" s="5">
        <v>500</v>
      </c>
      <c r="N200">
        <f>L200*M200</f>
        <v>1500</v>
      </c>
      <c r="O200" s="15">
        <f>N200*$R$3</f>
        <v>22.5</v>
      </c>
    </row>
    <row r="201" spans="1:15">
      <c r="A201" s="2">
        <v>200</v>
      </c>
      <c r="B201" s="4">
        <f>YEAR(F201)</f>
        <v>2023</v>
      </c>
      <c r="C201" s="4">
        <f>MONTH(F201)</f>
        <v>9</v>
      </c>
      <c r="D201" s="4">
        <f>DAY(F201)</f>
        <v>1</v>
      </c>
      <c r="E201" s="4" t="str">
        <f t="shared" si="3"/>
        <v>Friday</v>
      </c>
      <c r="F201" s="3">
        <v>45170</v>
      </c>
      <c r="G201" s="4" t="s">
        <v>232</v>
      </c>
      <c r="H201" s="4" t="s">
        <v>8</v>
      </c>
      <c r="I201" s="4">
        <v>27</v>
      </c>
      <c r="J201" s="4" t="str" cm="1">
        <f t="array" ref="J201">_xlfn.IFS(I201&lt;30,"Young Adult", I201&lt;50,"Adult",I201 &gt;=50,"Seniors")</f>
        <v>Young Adult</v>
      </c>
      <c r="K201" s="4" t="s">
        <v>2</v>
      </c>
      <c r="L201" s="4">
        <v>3</v>
      </c>
      <c r="M201" s="5">
        <v>50</v>
      </c>
      <c r="N201">
        <f>L201*M201</f>
        <v>150</v>
      </c>
      <c r="O201" s="15">
        <f>N201*$R$3</f>
        <v>2.25</v>
      </c>
    </row>
    <row r="202" spans="1:15">
      <c r="A202" s="2">
        <v>201</v>
      </c>
      <c r="B202" s="4">
        <f>YEAR(F202)</f>
        <v>2023</v>
      </c>
      <c r="C202" s="4">
        <f>MONTH(F202)</f>
        <v>10</v>
      </c>
      <c r="D202" s="4">
        <f>DAY(F202)</f>
        <v>9</v>
      </c>
      <c r="E202" s="4" t="str">
        <f t="shared" si="3"/>
        <v>Monday</v>
      </c>
      <c r="F202" s="3">
        <v>45208</v>
      </c>
      <c r="G202" s="4" t="s">
        <v>233</v>
      </c>
      <c r="H202" s="4" t="s">
        <v>8</v>
      </c>
      <c r="I202" s="4">
        <v>56</v>
      </c>
      <c r="J202" s="4" t="str" cm="1">
        <f t="array" ref="J202">_xlfn.IFS(I202&lt;30,"Young Adult", I202&lt;50,"Adult",I202 &gt;=50,"Seniors")</f>
        <v>Seniors</v>
      </c>
      <c r="K202" s="4" t="s">
        <v>4</v>
      </c>
      <c r="L202" s="4">
        <v>1</v>
      </c>
      <c r="M202" s="5">
        <v>25</v>
      </c>
      <c r="N202">
        <f>L202*M202</f>
        <v>25</v>
      </c>
      <c r="O202" s="15">
        <f>N202*$R$3</f>
        <v>0.375</v>
      </c>
    </row>
    <row r="203" spans="1:15">
      <c r="A203" s="2">
        <v>202</v>
      </c>
      <c r="B203" s="4">
        <f>YEAR(F203)</f>
        <v>2023</v>
      </c>
      <c r="C203" s="4">
        <f>MONTH(F203)</f>
        <v>3</v>
      </c>
      <c r="D203" s="4">
        <f>DAY(F203)</f>
        <v>26</v>
      </c>
      <c r="E203" s="4" t="str">
        <f t="shared" si="3"/>
        <v>Sunday</v>
      </c>
      <c r="F203" s="3">
        <v>45011</v>
      </c>
      <c r="G203" s="4" t="s">
        <v>234</v>
      </c>
      <c r="H203" s="4" t="s">
        <v>7</v>
      </c>
      <c r="I203" s="4">
        <v>34</v>
      </c>
      <c r="J203" s="4" t="str" cm="1">
        <f t="array" ref="J203">_xlfn.IFS(I203&lt;30,"Young Adult", I203&lt;50,"Adult",I203 &gt;=50,"Seniors")</f>
        <v>Adult</v>
      </c>
      <c r="K203" s="4" t="s">
        <v>3</v>
      </c>
      <c r="L203" s="4">
        <v>4</v>
      </c>
      <c r="M203" s="5">
        <v>300</v>
      </c>
      <c r="N203">
        <f>L203*M203</f>
        <v>1200</v>
      </c>
      <c r="O203" s="15">
        <f>N203*$R$3</f>
        <v>18</v>
      </c>
    </row>
    <row r="204" spans="1:15">
      <c r="A204" s="2">
        <v>203</v>
      </c>
      <c r="B204" s="4">
        <f>YEAR(F204)</f>
        <v>2023</v>
      </c>
      <c r="C204" s="4">
        <f>MONTH(F204)</f>
        <v>5</v>
      </c>
      <c r="D204" s="4">
        <f>DAY(F204)</f>
        <v>16</v>
      </c>
      <c r="E204" s="4" t="str">
        <f t="shared" si="3"/>
        <v>Tuesday</v>
      </c>
      <c r="F204" s="3">
        <v>45062</v>
      </c>
      <c r="G204" s="4" t="s">
        <v>235</v>
      </c>
      <c r="H204" s="4" t="s">
        <v>8</v>
      </c>
      <c r="I204" s="4">
        <v>56</v>
      </c>
      <c r="J204" s="4" t="str" cm="1">
        <f t="array" ref="J204">_xlfn.IFS(I204&lt;30,"Young Adult", I204&lt;50,"Adult",I204 &gt;=50,"Seniors")</f>
        <v>Seniors</v>
      </c>
      <c r="K204" s="4" t="s">
        <v>3</v>
      </c>
      <c r="L204" s="4">
        <v>2</v>
      </c>
      <c r="M204" s="5">
        <v>500</v>
      </c>
      <c r="N204">
        <f>L204*M204</f>
        <v>1000</v>
      </c>
      <c r="O204" s="15">
        <f>N204*$R$3</f>
        <v>15</v>
      </c>
    </row>
    <row r="205" spans="1:15">
      <c r="A205" s="2">
        <v>204</v>
      </c>
      <c r="B205" s="4">
        <f>YEAR(F205)</f>
        <v>2023</v>
      </c>
      <c r="C205" s="4">
        <f>MONTH(F205)</f>
        <v>9</v>
      </c>
      <c r="D205" s="4">
        <f>DAY(F205)</f>
        <v>28</v>
      </c>
      <c r="E205" s="4" t="str">
        <f t="shared" si="3"/>
        <v>Thursday</v>
      </c>
      <c r="F205" s="3">
        <v>45197</v>
      </c>
      <c r="G205" s="4" t="s">
        <v>236</v>
      </c>
      <c r="H205" s="4" t="s">
        <v>8</v>
      </c>
      <c r="I205" s="4">
        <v>39</v>
      </c>
      <c r="J205" s="4" t="str" cm="1">
        <f t="array" ref="J205">_xlfn.IFS(I205&lt;30,"Young Adult", I205&lt;50,"Adult",I205 &gt;=50,"Seniors")</f>
        <v>Adult</v>
      </c>
      <c r="K205" s="4" t="s">
        <v>2</v>
      </c>
      <c r="L205" s="4">
        <v>1</v>
      </c>
      <c r="M205" s="5">
        <v>25</v>
      </c>
      <c r="N205">
        <f>L205*M205</f>
        <v>25</v>
      </c>
      <c r="O205" s="15">
        <f>N205*$R$3</f>
        <v>0.375</v>
      </c>
    </row>
    <row r="206" spans="1:15">
      <c r="A206" s="2">
        <v>205</v>
      </c>
      <c r="B206" s="4">
        <f>YEAR(F206)</f>
        <v>2023</v>
      </c>
      <c r="C206" s="4">
        <f>MONTH(F206)</f>
        <v>11</v>
      </c>
      <c r="D206" s="4">
        <f>DAY(F206)</f>
        <v>7</v>
      </c>
      <c r="E206" s="4" t="str">
        <f t="shared" si="3"/>
        <v>Tuesday</v>
      </c>
      <c r="F206" s="3">
        <v>45237</v>
      </c>
      <c r="G206" s="4" t="s">
        <v>237</v>
      </c>
      <c r="H206" s="4" t="s">
        <v>7</v>
      </c>
      <c r="I206" s="4">
        <v>43</v>
      </c>
      <c r="J206" s="4" t="str" cm="1">
        <f t="array" ref="J206">_xlfn.IFS(I206&lt;30,"Young Adult", I206&lt;50,"Adult",I206 &gt;=50,"Seniors")</f>
        <v>Adult</v>
      </c>
      <c r="K206" s="4" t="s">
        <v>3</v>
      </c>
      <c r="L206" s="4">
        <v>1</v>
      </c>
      <c r="M206" s="5">
        <v>25</v>
      </c>
      <c r="N206">
        <f>L206*M206</f>
        <v>25</v>
      </c>
      <c r="O206" s="15">
        <f>N206*$R$3</f>
        <v>0.375</v>
      </c>
    </row>
    <row r="207" spans="1:15">
      <c r="A207" s="2">
        <v>206</v>
      </c>
      <c r="B207" s="4">
        <f>YEAR(F207)</f>
        <v>2023</v>
      </c>
      <c r="C207" s="4">
        <f>MONTH(F207)</f>
        <v>8</v>
      </c>
      <c r="D207" s="4">
        <f>DAY(F207)</f>
        <v>5</v>
      </c>
      <c r="E207" s="4" t="str">
        <f t="shared" si="3"/>
        <v>Saturday</v>
      </c>
      <c r="F207" s="3">
        <v>45143</v>
      </c>
      <c r="G207" s="4" t="s">
        <v>238</v>
      </c>
      <c r="H207" s="4" t="s">
        <v>8</v>
      </c>
      <c r="I207" s="4">
        <v>61</v>
      </c>
      <c r="J207" s="4" t="str" cm="1">
        <f t="array" ref="J207">_xlfn.IFS(I207&lt;30,"Young Adult", I207&lt;50,"Adult",I207 &gt;=50,"Seniors")</f>
        <v>Seniors</v>
      </c>
      <c r="K207" s="4" t="s">
        <v>3</v>
      </c>
      <c r="L207" s="4">
        <v>1</v>
      </c>
      <c r="M207" s="5">
        <v>25</v>
      </c>
      <c r="N207">
        <f>L207*M207</f>
        <v>25</v>
      </c>
      <c r="O207" s="15">
        <f>N207*$R$3</f>
        <v>0.375</v>
      </c>
    </row>
    <row r="208" spans="1:15">
      <c r="A208" s="2">
        <v>207</v>
      </c>
      <c r="B208" s="4">
        <f>YEAR(F208)</f>
        <v>2023</v>
      </c>
      <c r="C208" s="4">
        <f>MONTH(F208)</f>
        <v>4</v>
      </c>
      <c r="D208" s="4">
        <f>DAY(F208)</f>
        <v>19</v>
      </c>
      <c r="E208" s="4" t="str">
        <f t="shared" si="3"/>
        <v>Wednesday</v>
      </c>
      <c r="F208" s="3">
        <v>45035</v>
      </c>
      <c r="G208" s="4" t="s">
        <v>239</v>
      </c>
      <c r="H208" s="4" t="s">
        <v>7</v>
      </c>
      <c r="I208" s="4">
        <v>42</v>
      </c>
      <c r="J208" s="4" t="str" cm="1">
        <f t="array" ref="J208">_xlfn.IFS(I208&lt;30,"Young Adult", I208&lt;50,"Adult",I208 &gt;=50,"Seniors")</f>
        <v>Adult</v>
      </c>
      <c r="K208" s="4" t="s">
        <v>2</v>
      </c>
      <c r="L208" s="4">
        <v>2</v>
      </c>
      <c r="M208" s="5">
        <v>25</v>
      </c>
      <c r="N208">
        <f>L208*M208</f>
        <v>50</v>
      </c>
      <c r="O208" s="15">
        <f>N208*$R$3</f>
        <v>0.75</v>
      </c>
    </row>
    <row r="209" spans="1:15">
      <c r="A209" s="2">
        <v>208</v>
      </c>
      <c r="B209" s="4">
        <f>YEAR(F209)</f>
        <v>2023</v>
      </c>
      <c r="C209" s="4">
        <f>MONTH(F209)</f>
        <v>10</v>
      </c>
      <c r="D209" s="4">
        <f>DAY(F209)</f>
        <v>4</v>
      </c>
      <c r="E209" s="4" t="str">
        <f t="shared" si="3"/>
        <v>Wednesday</v>
      </c>
      <c r="F209" s="3">
        <v>45203</v>
      </c>
      <c r="G209" s="4" t="s">
        <v>240</v>
      </c>
      <c r="H209" s="4" t="s">
        <v>7</v>
      </c>
      <c r="I209" s="4">
        <v>34</v>
      </c>
      <c r="J209" s="4" t="str" cm="1">
        <f t="array" ref="J209">_xlfn.IFS(I209&lt;30,"Young Adult", I209&lt;50,"Adult",I209 &gt;=50,"Seniors")</f>
        <v>Adult</v>
      </c>
      <c r="K209" s="4" t="s">
        <v>4</v>
      </c>
      <c r="L209" s="4">
        <v>4</v>
      </c>
      <c r="M209" s="5">
        <v>50</v>
      </c>
      <c r="N209">
        <f>L209*M209</f>
        <v>200</v>
      </c>
      <c r="O209" s="15">
        <f>N209*$R$3</f>
        <v>3</v>
      </c>
    </row>
    <row r="210" spans="1:15">
      <c r="A210" s="2">
        <v>209</v>
      </c>
      <c r="B210" s="4">
        <f>YEAR(F210)</f>
        <v>2023</v>
      </c>
      <c r="C210" s="4">
        <f>MONTH(F210)</f>
        <v>12</v>
      </c>
      <c r="D210" s="4">
        <f>DAY(F210)</f>
        <v>20</v>
      </c>
      <c r="E210" s="4" t="str">
        <f t="shared" si="3"/>
        <v>Wednesday</v>
      </c>
      <c r="F210" s="3">
        <v>45280</v>
      </c>
      <c r="G210" s="4" t="s">
        <v>241</v>
      </c>
      <c r="H210" s="4" t="s">
        <v>7</v>
      </c>
      <c r="I210" s="4">
        <v>30</v>
      </c>
      <c r="J210" s="4" t="str" cm="1">
        <f t="array" ref="J210">_xlfn.IFS(I210&lt;30,"Young Adult", I210&lt;50,"Adult",I210 &gt;=50,"Seniors")</f>
        <v>Adult</v>
      </c>
      <c r="K210" s="4" t="s">
        <v>4</v>
      </c>
      <c r="L210" s="4">
        <v>4</v>
      </c>
      <c r="M210" s="5">
        <v>50</v>
      </c>
      <c r="N210">
        <f>L210*M210</f>
        <v>200</v>
      </c>
      <c r="O210" s="15">
        <f>N210*$R$3</f>
        <v>3</v>
      </c>
    </row>
    <row r="211" spans="1:15">
      <c r="A211" s="2">
        <v>210</v>
      </c>
      <c r="B211" s="4">
        <f>YEAR(F211)</f>
        <v>2023</v>
      </c>
      <c r="C211" s="4">
        <f>MONTH(F211)</f>
        <v>4</v>
      </c>
      <c r="D211" s="4">
        <f>DAY(F211)</f>
        <v>13</v>
      </c>
      <c r="E211" s="4" t="str">
        <f t="shared" si="3"/>
        <v>Thursday</v>
      </c>
      <c r="F211" s="3">
        <v>45029</v>
      </c>
      <c r="G211" s="4" t="s">
        <v>242</v>
      </c>
      <c r="H211" s="4" t="s">
        <v>8</v>
      </c>
      <c r="I211" s="4">
        <v>37</v>
      </c>
      <c r="J211" s="4" t="str" cm="1">
        <f t="array" ref="J211">_xlfn.IFS(I211&lt;30,"Young Adult", I211&lt;50,"Adult",I211 &gt;=50,"Seniors")</f>
        <v>Adult</v>
      </c>
      <c r="K211" s="4" t="s">
        <v>4</v>
      </c>
      <c r="L211" s="4">
        <v>4</v>
      </c>
      <c r="M211" s="5">
        <v>50</v>
      </c>
      <c r="N211">
        <f>L211*M211</f>
        <v>200</v>
      </c>
      <c r="O211" s="15">
        <f>N211*$R$3</f>
        <v>3</v>
      </c>
    </row>
    <row r="212" spans="1:15">
      <c r="A212" s="2">
        <v>211</v>
      </c>
      <c r="B212" s="4">
        <f>YEAR(F212)</f>
        <v>2024</v>
      </c>
      <c r="C212" s="4">
        <f>MONTH(F212)</f>
        <v>1</v>
      </c>
      <c r="D212" s="4">
        <f>DAY(F212)</f>
        <v>1</v>
      </c>
      <c r="E212" s="4" t="str">
        <f t="shared" si="3"/>
        <v>Monday</v>
      </c>
      <c r="F212" s="3">
        <v>45292</v>
      </c>
      <c r="G212" s="4" t="s">
        <v>243</v>
      </c>
      <c r="H212" s="4" t="s">
        <v>8</v>
      </c>
      <c r="I212" s="4">
        <v>42</v>
      </c>
      <c r="J212" s="4" t="str" cm="1">
        <f t="array" ref="J212">_xlfn.IFS(I212&lt;30,"Young Adult", I212&lt;50,"Adult",I212 &gt;=50,"Seniors")</f>
        <v>Adult</v>
      </c>
      <c r="K212" s="4" t="s">
        <v>2</v>
      </c>
      <c r="L212" s="4">
        <v>3</v>
      </c>
      <c r="M212" s="5">
        <v>500</v>
      </c>
      <c r="N212">
        <f>L212*M212</f>
        <v>1500</v>
      </c>
      <c r="O212" s="15">
        <f>N212*$R$3</f>
        <v>22.5</v>
      </c>
    </row>
    <row r="213" spans="1:15">
      <c r="A213" s="2">
        <v>212</v>
      </c>
      <c r="B213" s="4">
        <f>YEAR(F213)</f>
        <v>2023</v>
      </c>
      <c r="C213" s="4">
        <f>MONTH(F213)</f>
        <v>6</v>
      </c>
      <c r="D213" s="4">
        <f>DAY(F213)</f>
        <v>9</v>
      </c>
      <c r="E213" s="4" t="str">
        <f t="shared" si="3"/>
        <v>Friday</v>
      </c>
      <c r="F213" s="3">
        <v>45086</v>
      </c>
      <c r="G213" s="4" t="s">
        <v>244</v>
      </c>
      <c r="H213" s="4" t="s">
        <v>8</v>
      </c>
      <c r="I213" s="4">
        <v>21</v>
      </c>
      <c r="J213" s="4" t="str" cm="1">
        <f t="array" ref="J213">_xlfn.IFS(I213&lt;30,"Young Adult", I213&lt;50,"Adult",I213 &gt;=50,"Seniors")</f>
        <v>Young Adult</v>
      </c>
      <c r="K213" s="4" t="s">
        <v>3</v>
      </c>
      <c r="L213" s="4">
        <v>3</v>
      </c>
      <c r="M213" s="5">
        <v>500</v>
      </c>
      <c r="N213">
        <f>L213*M213</f>
        <v>1500</v>
      </c>
      <c r="O213" s="15">
        <f>N213*$R$3</f>
        <v>22.5</v>
      </c>
    </row>
    <row r="214" spans="1:15">
      <c r="A214" s="2">
        <v>213</v>
      </c>
      <c r="B214" s="4">
        <f>YEAR(F214)</f>
        <v>2023</v>
      </c>
      <c r="C214" s="4">
        <f>MONTH(F214)</f>
        <v>7</v>
      </c>
      <c r="D214" s="4">
        <f>DAY(F214)</f>
        <v>24</v>
      </c>
      <c r="E214" s="4" t="str">
        <f t="shared" si="3"/>
        <v>Monday</v>
      </c>
      <c r="F214" s="3">
        <v>45131</v>
      </c>
      <c r="G214" s="4" t="s">
        <v>245</v>
      </c>
      <c r="H214" s="4" t="s">
        <v>8</v>
      </c>
      <c r="I214" s="4">
        <v>27</v>
      </c>
      <c r="J214" s="4" t="str" cm="1">
        <f t="array" ref="J214">_xlfn.IFS(I214&lt;30,"Young Adult", I214&lt;50,"Adult",I214 &gt;=50,"Seniors")</f>
        <v>Young Adult</v>
      </c>
      <c r="K214" s="4" t="s">
        <v>2</v>
      </c>
      <c r="L214" s="4">
        <v>3</v>
      </c>
      <c r="M214" s="5">
        <v>500</v>
      </c>
      <c r="N214">
        <f>L214*M214</f>
        <v>1500</v>
      </c>
      <c r="O214" s="15">
        <f>N214*$R$3</f>
        <v>22.5</v>
      </c>
    </row>
    <row r="215" spans="1:15">
      <c r="A215" s="2">
        <v>214</v>
      </c>
      <c r="B215" s="4">
        <f>YEAR(F215)</f>
        <v>2023</v>
      </c>
      <c r="C215" s="4">
        <f>MONTH(F215)</f>
        <v>12</v>
      </c>
      <c r="D215" s="4">
        <f>DAY(F215)</f>
        <v>10</v>
      </c>
      <c r="E215" s="4" t="str">
        <f t="shared" si="3"/>
        <v>Sunday</v>
      </c>
      <c r="F215" s="3">
        <v>45270</v>
      </c>
      <c r="G215" s="4" t="s">
        <v>246</v>
      </c>
      <c r="H215" s="4" t="s">
        <v>8</v>
      </c>
      <c r="I215" s="4">
        <v>20</v>
      </c>
      <c r="J215" s="4" t="str" cm="1">
        <f t="array" ref="J215">_xlfn.IFS(I215&lt;30,"Young Adult", I215&lt;50,"Adult",I215 &gt;=50,"Seniors")</f>
        <v>Young Adult</v>
      </c>
      <c r="K215" s="4" t="s">
        <v>2</v>
      </c>
      <c r="L215" s="4">
        <v>2</v>
      </c>
      <c r="M215" s="5">
        <v>30</v>
      </c>
      <c r="N215">
        <f>L215*M215</f>
        <v>60</v>
      </c>
      <c r="O215" s="15">
        <f>N215*$R$3</f>
        <v>0.89999999999999991</v>
      </c>
    </row>
    <row r="216" spans="1:15">
      <c r="A216" s="2">
        <v>215</v>
      </c>
      <c r="B216" s="4">
        <f>YEAR(F216)</f>
        <v>2023</v>
      </c>
      <c r="C216" s="4">
        <f>MONTH(F216)</f>
        <v>11</v>
      </c>
      <c r="D216" s="4">
        <f>DAY(F216)</f>
        <v>29</v>
      </c>
      <c r="E216" s="4" t="str">
        <f t="shared" si="3"/>
        <v>Wednesday</v>
      </c>
      <c r="F216" s="3">
        <v>45259</v>
      </c>
      <c r="G216" s="4" t="s">
        <v>247</v>
      </c>
      <c r="H216" s="4" t="s">
        <v>8</v>
      </c>
      <c r="I216" s="4">
        <v>58</v>
      </c>
      <c r="J216" s="4" t="str" cm="1">
        <f t="array" ref="J216">_xlfn.IFS(I216&lt;30,"Young Adult", I216&lt;50,"Adult",I216 &gt;=50,"Seniors")</f>
        <v>Seniors</v>
      </c>
      <c r="K216" s="4" t="s">
        <v>3</v>
      </c>
      <c r="L216" s="4">
        <v>3</v>
      </c>
      <c r="M216" s="5">
        <v>500</v>
      </c>
      <c r="N216">
        <f>L216*M216</f>
        <v>1500</v>
      </c>
      <c r="O216" s="15">
        <f>N216*$R$3</f>
        <v>22.5</v>
      </c>
    </row>
    <row r="217" spans="1:15">
      <c r="A217" s="2">
        <v>216</v>
      </c>
      <c r="B217" s="4">
        <f>YEAR(F217)</f>
        <v>2023</v>
      </c>
      <c r="C217" s="4">
        <f>MONTH(F217)</f>
        <v>7</v>
      </c>
      <c r="D217" s="4">
        <f>DAY(F217)</f>
        <v>11</v>
      </c>
      <c r="E217" s="4" t="str">
        <f t="shared" si="3"/>
        <v>Tuesday</v>
      </c>
      <c r="F217" s="3">
        <v>45118</v>
      </c>
      <c r="G217" s="4" t="s">
        <v>248</v>
      </c>
      <c r="H217" s="4" t="s">
        <v>8</v>
      </c>
      <c r="I217" s="4">
        <v>62</v>
      </c>
      <c r="J217" s="4" t="str" cm="1">
        <f t="array" ref="J217">_xlfn.IFS(I217&lt;30,"Young Adult", I217&lt;50,"Adult",I217 &gt;=50,"Seniors")</f>
        <v>Seniors</v>
      </c>
      <c r="K217" s="4" t="s">
        <v>4</v>
      </c>
      <c r="L217" s="4">
        <v>2</v>
      </c>
      <c r="M217" s="5">
        <v>50</v>
      </c>
      <c r="N217">
        <f>L217*M217</f>
        <v>100</v>
      </c>
      <c r="O217" s="15">
        <f>N217*$R$3</f>
        <v>1.5</v>
      </c>
    </row>
    <row r="218" spans="1:15">
      <c r="A218" s="2">
        <v>217</v>
      </c>
      <c r="B218" s="4">
        <f>YEAR(F218)</f>
        <v>2023</v>
      </c>
      <c r="C218" s="4">
        <f>MONTH(F218)</f>
        <v>8</v>
      </c>
      <c r="D218" s="4">
        <f>DAY(F218)</f>
        <v>13</v>
      </c>
      <c r="E218" s="4" t="str">
        <f t="shared" si="3"/>
        <v>Sunday</v>
      </c>
      <c r="F218" s="3">
        <v>45151</v>
      </c>
      <c r="G218" s="4" t="s">
        <v>249</v>
      </c>
      <c r="H218" s="4" t="s">
        <v>7</v>
      </c>
      <c r="I218" s="4">
        <v>35</v>
      </c>
      <c r="J218" s="4" t="str" cm="1">
        <f t="array" ref="J218">_xlfn.IFS(I218&lt;30,"Young Adult", I218&lt;50,"Adult",I218 &gt;=50,"Seniors")</f>
        <v>Adult</v>
      </c>
      <c r="K218" s="4" t="s">
        <v>4</v>
      </c>
      <c r="L218" s="4">
        <v>4</v>
      </c>
      <c r="M218" s="5">
        <v>50</v>
      </c>
      <c r="N218">
        <f>L218*M218</f>
        <v>200</v>
      </c>
      <c r="O218" s="15">
        <f>N218*$R$3</f>
        <v>3</v>
      </c>
    </row>
    <row r="219" spans="1:15">
      <c r="A219" s="2">
        <v>218</v>
      </c>
      <c r="B219" s="4">
        <f>YEAR(F219)</f>
        <v>2023</v>
      </c>
      <c r="C219" s="4">
        <f>MONTH(F219)</f>
        <v>9</v>
      </c>
      <c r="D219" s="4">
        <f>DAY(F219)</f>
        <v>22</v>
      </c>
      <c r="E219" s="4" t="str">
        <f t="shared" si="3"/>
        <v>Friday</v>
      </c>
      <c r="F219" s="3">
        <v>45191</v>
      </c>
      <c r="G219" s="4" t="s">
        <v>250</v>
      </c>
      <c r="H219" s="4" t="s">
        <v>8</v>
      </c>
      <c r="I219" s="4">
        <v>64</v>
      </c>
      <c r="J219" s="4" t="str" cm="1">
        <f t="array" ref="J219">_xlfn.IFS(I219&lt;30,"Young Adult", I219&lt;50,"Adult",I219 &gt;=50,"Seniors")</f>
        <v>Seniors</v>
      </c>
      <c r="K219" s="4" t="s">
        <v>2</v>
      </c>
      <c r="L219" s="4">
        <v>3</v>
      </c>
      <c r="M219" s="5">
        <v>30</v>
      </c>
      <c r="N219">
        <f>L219*M219</f>
        <v>90</v>
      </c>
      <c r="O219" s="15">
        <f>N219*$R$3</f>
        <v>1.3499999999999999</v>
      </c>
    </row>
    <row r="220" spans="1:15">
      <c r="A220" s="2">
        <v>219</v>
      </c>
      <c r="B220" s="4">
        <f>YEAR(F220)</f>
        <v>2023</v>
      </c>
      <c r="C220" s="4">
        <f>MONTH(F220)</f>
        <v>8</v>
      </c>
      <c r="D220" s="4">
        <f>DAY(F220)</f>
        <v>20</v>
      </c>
      <c r="E220" s="4" t="str">
        <f t="shared" si="3"/>
        <v>Sunday</v>
      </c>
      <c r="F220" s="3">
        <v>45158</v>
      </c>
      <c r="G220" s="4" t="s">
        <v>251</v>
      </c>
      <c r="H220" s="4" t="s">
        <v>7</v>
      </c>
      <c r="I220" s="4">
        <v>53</v>
      </c>
      <c r="J220" s="4" t="str" cm="1">
        <f t="array" ref="J220">_xlfn.IFS(I220&lt;30,"Young Adult", I220&lt;50,"Adult",I220 &gt;=50,"Seniors")</f>
        <v>Seniors</v>
      </c>
      <c r="K220" s="4" t="s">
        <v>4</v>
      </c>
      <c r="L220" s="4">
        <v>3</v>
      </c>
      <c r="M220" s="5">
        <v>30</v>
      </c>
      <c r="N220">
        <f>L220*M220</f>
        <v>90</v>
      </c>
      <c r="O220" s="15">
        <f>N220*$R$3</f>
        <v>1.3499999999999999</v>
      </c>
    </row>
    <row r="221" spans="1:15">
      <c r="A221" s="2">
        <v>220</v>
      </c>
      <c r="B221" s="4">
        <f>YEAR(F221)</f>
        <v>2023</v>
      </c>
      <c r="C221" s="4">
        <f>MONTH(F221)</f>
        <v>3</v>
      </c>
      <c r="D221" s="4">
        <f>DAY(F221)</f>
        <v>3</v>
      </c>
      <c r="E221" s="4" t="str">
        <f t="shared" si="3"/>
        <v>Friday</v>
      </c>
      <c r="F221" s="3">
        <v>44988</v>
      </c>
      <c r="G221" s="4" t="s">
        <v>252</v>
      </c>
      <c r="H221" s="4" t="s">
        <v>8</v>
      </c>
      <c r="I221" s="4">
        <v>64</v>
      </c>
      <c r="J221" s="4" t="str" cm="1">
        <f t="array" ref="J221">_xlfn.IFS(I221&lt;30,"Young Adult", I221&lt;50,"Adult",I221 &gt;=50,"Seniors")</f>
        <v>Seniors</v>
      </c>
      <c r="K221" s="4" t="s">
        <v>2</v>
      </c>
      <c r="L221" s="4">
        <v>1</v>
      </c>
      <c r="M221" s="5">
        <v>500</v>
      </c>
      <c r="N221">
        <f>L221*M221</f>
        <v>500</v>
      </c>
      <c r="O221" s="15">
        <f>N221*$R$3</f>
        <v>7.5</v>
      </c>
    </row>
    <row r="222" spans="1:15">
      <c r="A222" s="2">
        <v>221</v>
      </c>
      <c r="B222" s="4">
        <f>YEAR(F222)</f>
        <v>2023</v>
      </c>
      <c r="C222" s="4">
        <f>MONTH(F222)</f>
        <v>5</v>
      </c>
      <c r="D222" s="4">
        <f>DAY(F222)</f>
        <v>7</v>
      </c>
      <c r="E222" s="4" t="str">
        <f t="shared" si="3"/>
        <v>Sunday</v>
      </c>
      <c r="F222" s="3">
        <v>45053</v>
      </c>
      <c r="G222" s="4" t="s">
        <v>253</v>
      </c>
      <c r="H222" s="4" t="s">
        <v>8</v>
      </c>
      <c r="I222" s="4">
        <v>39</v>
      </c>
      <c r="J222" s="4" t="str" cm="1">
        <f t="array" ref="J222">_xlfn.IFS(I222&lt;30,"Young Adult", I222&lt;50,"Adult",I222 &gt;=50,"Seniors")</f>
        <v>Adult</v>
      </c>
      <c r="K222" s="4" t="s">
        <v>2</v>
      </c>
      <c r="L222" s="4">
        <v>2</v>
      </c>
      <c r="M222" s="5">
        <v>300</v>
      </c>
      <c r="N222">
        <f>L222*M222</f>
        <v>600</v>
      </c>
      <c r="O222" s="15">
        <f>N222*$R$3</f>
        <v>9</v>
      </c>
    </row>
    <row r="223" spans="1:15">
      <c r="A223" s="2">
        <v>222</v>
      </c>
      <c r="B223" s="4">
        <f>YEAR(F223)</f>
        <v>2023</v>
      </c>
      <c r="C223" s="4">
        <f>MONTH(F223)</f>
        <v>4</v>
      </c>
      <c r="D223" s="4">
        <f>DAY(F223)</f>
        <v>26</v>
      </c>
      <c r="E223" s="4" t="str">
        <f t="shared" si="3"/>
        <v>Wednesday</v>
      </c>
      <c r="F223" s="3">
        <v>45042</v>
      </c>
      <c r="G223" s="4" t="s">
        <v>254</v>
      </c>
      <c r="H223" s="4" t="s">
        <v>8</v>
      </c>
      <c r="I223" s="4">
        <v>51</v>
      </c>
      <c r="J223" s="4" t="str" cm="1">
        <f t="array" ref="J223">_xlfn.IFS(I223&lt;30,"Young Adult", I223&lt;50,"Adult",I223 &gt;=50,"Seniors")</f>
        <v>Seniors</v>
      </c>
      <c r="K223" s="4" t="s">
        <v>3</v>
      </c>
      <c r="L223" s="4">
        <v>4</v>
      </c>
      <c r="M223" s="5">
        <v>30</v>
      </c>
      <c r="N223">
        <f>L223*M223</f>
        <v>120</v>
      </c>
      <c r="O223" s="15">
        <f>N223*$R$3</f>
        <v>1.7999999999999998</v>
      </c>
    </row>
    <row r="224" spans="1:15">
      <c r="A224" s="2">
        <v>223</v>
      </c>
      <c r="B224" s="4">
        <f>YEAR(F224)</f>
        <v>2023</v>
      </c>
      <c r="C224" s="4">
        <f>MONTH(F224)</f>
        <v>2</v>
      </c>
      <c r="D224" s="4">
        <f>DAY(F224)</f>
        <v>2</v>
      </c>
      <c r="E224" s="4" t="str">
        <f t="shared" si="3"/>
        <v>Thursday</v>
      </c>
      <c r="F224" s="3">
        <v>44959</v>
      </c>
      <c r="G224" s="4" t="s">
        <v>255</v>
      </c>
      <c r="H224" s="4" t="s">
        <v>7</v>
      </c>
      <c r="I224" s="4">
        <v>64</v>
      </c>
      <c r="J224" s="4" t="str" cm="1">
        <f t="array" ref="J224">_xlfn.IFS(I224&lt;30,"Young Adult", I224&lt;50,"Adult",I224 &gt;=50,"Seniors")</f>
        <v>Seniors</v>
      </c>
      <c r="K224" s="4" t="s">
        <v>3</v>
      </c>
      <c r="L224" s="4">
        <v>1</v>
      </c>
      <c r="M224" s="5">
        <v>25</v>
      </c>
      <c r="N224">
        <f>L224*M224</f>
        <v>25</v>
      </c>
      <c r="O224" s="15">
        <f>N224*$R$3</f>
        <v>0.375</v>
      </c>
    </row>
    <row r="225" spans="1:15">
      <c r="A225" s="2">
        <v>224</v>
      </c>
      <c r="B225" s="4">
        <f>YEAR(F225)</f>
        <v>2023</v>
      </c>
      <c r="C225" s="4">
        <f>MONTH(F225)</f>
        <v>6</v>
      </c>
      <c r="D225" s="4">
        <f>DAY(F225)</f>
        <v>23</v>
      </c>
      <c r="E225" s="4" t="str">
        <f t="shared" si="3"/>
        <v>Friday</v>
      </c>
      <c r="F225" s="3">
        <v>45100</v>
      </c>
      <c r="G225" s="4" t="s">
        <v>256</v>
      </c>
      <c r="H225" s="4" t="s">
        <v>7</v>
      </c>
      <c r="I225" s="4">
        <v>25</v>
      </c>
      <c r="J225" s="4" t="str" cm="1">
        <f t="array" ref="J225">_xlfn.IFS(I225&lt;30,"Young Adult", I225&lt;50,"Adult",I225 &gt;=50,"Seniors")</f>
        <v>Young Adult</v>
      </c>
      <c r="K225" s="4" t="s">
        <v>3</v>
      </c>
      <c r="L225" s="4">
        <v>1</v>
      </c>
      <c r="M225" s="5">
        <v>50</v>
      </c>
      <c r="N225">
        <f>L225*M225</f>
        <v>50</v>
      </c>
      <c r="O225" s="15">
        <f>N225*$R$3</f>
        <v>0.75</v>
      </c>
    </row>
    <row r="226" spans="1:15">
      <c r="A226" s="2">
        <v>225</v>
      </c>
      <c r="B226" s="4">
        <f>YEAR(F226)</f>
        <v>2023</v>
      </c>
      <c r="C226" s="4">
        <f>MONTH(F226)</f>
        <v>1</v>
      </c>
      <c r="D226" s="4">
        <f>DAY(F226)</f>
        <v>11</v>
      </c>
      <c r="E226" s="4" t="str">
        <f t="shared" si="3"/>
        <v>Wednesday</v>
      </c>
      <c r="F226" s="3">
        <v>44937</v>
      </c>
      <c r="G226" s="4" t="s">
        <v>257</v>
      </c>
      <c r="H226" s="4" t="s">
        <v>7</v>
      </c>
      <c r="I226" s="4">
        <v>57</v>
      </c>
      <c r="J226" s="4" t="str" cm="1">
        <f t="array" ref="J226">_xlfn.IFS(I226&lt;30,"Young Adult", I226&lt;50,"Adult",I226 &gt;=50,"Seniors")</f>
        <v>Seniors</v>
      </c>
      <c r="K226" s="4" t="s">
        <v>2</v>
      </c>
      <c r="L226" s="4">
        <v>4</v>
      </c>
      <c r="M226" s="5">
        <v>25</v>
      </c>
      <c r="N226">
        <f>L226*M226</f>
        <v>100</v>
      </c>
      <c r="O226" s="15">
        <f>N226*$R$3</f>
        <v>1.5</v>
      </c>
    </row>
    <row r="227" spans="1:15">
      <c r="A227" s="2">
        <v>226</v>
      </c>
      <c r="B227" s="4">
        <f>YEAR(F227)</f>
        <v>2023</v>
      </c>
      <c r="C227" s="4">
        <f>MONTH(F227)</f>
        <v>10</v>
      </c>
      <c r="D227" s="4">
        <f>DAY(F227)</f>
        <v>29</v>
      </c>
      <c r="E227" s="4" t="str">
        <f t="shared" si="3"/>
        <v>Sunday</v>
      </c>
      <c r="F227" s="3">
        <v>45228</v>
      </c>
      <c r="G227" s="4" t="s">
        <v>258</v>
      </c>
      <c r="H227" s="4" t="s">
        <v>7</v>
      </c>
      <c r="I227" s="4">
        <v>61</v>
      </c>
      <c r="J227" s="4" t="str" cm="1">
        <f t="array" ref="J227">_xlfn.IFS(I227&lt;30,"Young Adult", I227&lt;50,"Adult",I227 &gt;=50,"Seniors")</f>
        <v>Seniors</v>
      </c>
      <c r="K227" s="4" t="s">
        <v>3</v>
      </c>
      <c r="L227" s="4">
        <v>1</v>
      </c>
      <c r="M227" s="5">
        <v>50</v>
      </c>
      <c r="N227">
        <f>L227*M227</f>
        <v>50</v>
      </c>
      <c r="O227" s="15">
        <f>N227*$R$3</f>
        <v>0.75</v>
      </c>
    </row>
    <row r="228" spans="1:15">
      <c r="A228" s="2">
        <v>227</v>
      </c>
      <c r="B228" s="4">
        <f>YEAR(F228)</f>
        <v>2023</v>
      </c>
      <c r="C228" s="4">
        <f>MONTH(F228)</f>
        <v>10</v>
      </c>
      <c r="D228" s="4">
        <f>DAY(F228)</f>
        <v>11</v>
      </c>
      <c r="E228" s="4" t="str">
        <f t="shared" si="3"/>
        <v>Wednesday</v>
      </c>
      <c r="F228" s="3">
        <v>45210</v>
      </c>
      <c r="G228" s="4" t="s">
        <v>259</v>
      </c>
      <c r="H228" s="4" t="s">
        <v>8</v>
      </c>
      <c r="I228" s="4">
        <v>36</v>
      </c>
      <c r="J228" s="4" t="str" cm="1">
        <f t="array" ref="J228">_xlfn.IFS(I228&lt;30,"Young Adult", I228&lt;50,"Adult",I228 &gt;=50,"Seniors")</f>
        <v>Adult</v>
      </c>
      <c r="K228" s="4" t="s">
        <v>4</v>
      </c>
      <c r="L228" s="4">
        <v>2</v>
      </c>
      <c r="M228" s="5">
        <v>50</v>
      </c>
      <c r="N228">
        <f>L228*M228</f>
        <v>100</v>
      </c>
      <c r="O228" s="15">
        <f>N228*$R$3</f>
        <v>1.5</v>
      </c>
    </row>
    <row r="229" spans="1:15">
      <c r="A229" s="2">
        <v>228</v>
      </c>
      <c r="B229" s="4">
        <f>YEAR(F229)</f>
        <v>2023</v>
      </c>
      <c r="C229" s="4">
        <f>MONTH(F229)</f>
        <v>4</v>
      </c>
      <c r="D229" s="4">
        <f>DAY(F229)</f>
        <v>28</v>
      </c>
      <c r="E229" s="4" t="str">
        <f t="shared" si="3"/>
        <v>Friday</v>
      </c>
      <c r="F229" s="3">
        <v>45044</v>
      </c>
      <c r="G229" s="4" t="s">
        <v>260</v>
      </c>
      <c r="H229" s="4" t="s">
        <v>7</v>
      </c>
      <c r="I229" s="4">
        <v>59</v>
      </c>
      <c r="J229" s="4" t="str" cm="1">
        <f t="array" ref="J229">_xlfn.IFS(I229&lt;30,"Young Adult", I229&lt;50,"Adult",I229 &gt;=50,"Seniors")</f>
        <v>Seniors</v>
      </c>
      <c r="K229" s="4" t="s">
        <v>4</v>
      </c>
      <c r="L229" s="4">
        <v>2</v>
      </c>
      <c r="M229" s="5">
        <v>30</v>
      </c>
      <c r="N229">
        <f>L229*M229</f>
        <v>60</v>
      </c>
      <c r="O229" s="15">
        <f>N229*$R$3</f>
        <v>0.89999999999999991</v>
      </c>
    </row>
    <row r="230" spans="1:15">
      <c r="A230" s="2">
        <v>229</v>
      </c>
      <c r="B230" s="4">
        <f>YEAR(F230)</f>
        <v>2023</v>
      </c>
      <c r="C230" s="4">
        <f>MONTH(F230)</f>
        <v>10</v>
      </c>
      <c r="D230" s="4">
        <f>DAY(F230)</f>
        <v>29</v>
      </c>
      <c r="E230" s="4" t="str">
        <f t="shared" si="3"/>
        <v>Sunday</v>
      </c>
      <c r="F230" s="3">
        <v>45228</v>
      </c>
      <c r="G230" s="4" t="s">
        <v>261</v>
      </c>
      <c r="H230" s="4" t="s">
        <v>8</v>
      </c>
      <c r="I230" s="4">
        <v>58</v>
      </c>
      <c r="J230" s="4" t="str" cm="1">
        <f t="array" ref="J230">_xlfn.IFS(I230&lt;30,"Young Adult", I230&lt;50,"Adult",I230 &gt;=50,"Seniors")</f>
        <v>Seniors</v>
      </c>
      <c r="K230" s="4" t="s">
        <v>2</v>
      </c>
      <c r="L230" s="4">
        <v>3</v>
      </c>
      <c r="M230" s="5">
        <v>30</v>
      </c>
      <c r="N230">
        <f>L230*M230</f>
        <v>90</v>
      </c>
      <c r="O230" s="15">
        <f>N230*$R$3</f>
        <v>1.3499999999999999</v>
      </c>
    </row>
    <row r="231" spans="1:15">
      <c r="A231" s="2">
        <v>230</v>
      </c>
      <c r="B231" s="4">
        <f>YEAR(F231)</f>
        <v>2023</v>
      </c>
      <c r="C231" s="4">
        <f>MONTH(F231)</f>
        <v>4</v>
      </c>
      <c r="D231" s="4">
        <f>DAY(F231)</f>
        <v>23</v>
      </c>
      <c r="E231" s="4" t="str">
        <f t="shared" si="3"/>
        <v>Sunday</v>
      </c>
      <c r="F231" s="3">
        <v>45039</v>
      </c>
      <c r="G231" s="4" t="s">
        <v>262</v>
      </c>
      <c r="H231" s="4" t="s">
        <v>8</v>
      </c>
      <c r="I231" s="4">
        <v>54</v>
      </c>
      <c r="J231" s="4" t="str" cm="1">
        <f t="array" ref="J231">_xlfn.IFS(I231&lt;30,"Young Adult", I231&lt;50,"Adult",I231 &gt;=50,"Seniors")</f>
        <v>Seniors</v>
      </c>
      <c r="K231" s="4" t="s">
        <v>2</v>
      </c>
      <c r="L231" s="4">
        <v>1</v>
      </c>
      <c r="M231" s="5">
        <v>25</v>
      </c>
      <c r="N231">
        <f>L231*M231</f>
        <v>25</v>
      </c>
      <c r="O231" s="15">
        <f>N231*$R$3</f>
        <v>0.375</v>
      </c>
    </row>
    <row r="232" spans="1:15">
      <c r="A232" s="2">
        <v>231</v>
      </c>
      <c r="B232" s="4">
        <f>YEAR(F232)</f>
        <v>2023</v>
      </c>
      <c r="C232" s="4">
        <f>MONTH(F232)</f>
        <v>1</v>
      </c>
      <c r="D232" s="4">
        <f>DAY(F232)</f>
        <v>4</v>
      </c>
      <c r="E232" s="4" t="str">
        <f t="shared" si="3"/>
        <v>Wednesday</v>
      </c>
      <c r="F232" s="3">
        <v>44930</v>
      </c>
      <c r="G232" s="4" t="s">
        <v>263</v>
      </c>
      <c r="H232" s="4" t="s">
        <v>7</v>
      </c>
      <c r="I232" s="4">
        <v>23</v>
      </c>
      <c r="J232" s="4" t="str" cm="1">
        <f t="array" ref="J232">_xlfn.IFS(I232&lt;30,"Young Adult", I232&lt;50,"Adult",I232 &gt;=50,"Seniors")</f>
        <v>Young Adult</v>
      </c>
      <c r="K232" s="4" t="s">
        <v>3</v>
      </c>
      <c r="L232" s="4">
        <v>3</v>
      </c>
      <c r="M232" s="5">
        <v>50</v>
      </c>
      <c r="N232">
        <f>L232*M232</f>
        <v>150</v>
      </c>
      <c r="O232" s="15">
        <f>N232*$R$3</f>
        <v>2.25</v>
      </c>
    </row>
    <row r="233" spans="1:15">
      <c r="A233" s="2">
        <v>232</v>
      </c>
      <c r="B233" s="4">
        <f>YEAR(F233)</f>
        <v>2023</v>
      </c>
      <c r="C233" s="4">
        <f>MONTH(F233)</f>
        <v>2</v>
      </c>
      <c r="D233" s="4">
        <f>DAY(F233)</f>
        <v>6</v>
      </c>
      <c r="E233" s="4" t="str">
        <f t="shared" si="3"/>
        <v>Monday</v>
      </c>
      <c r="F233" s="3">
        <v>44963</v>
      </c>
      <c r="G233" s="4" t="s">
        <v>264</v>
      </c>
      <c r="H233" s="4" t="s">
        <v>7</v>
      </c>
      <c r="I233" s="4">
        <v>43</v>
      </c>
      <c r="J233" s="4" t="str" cm="1">
        <f t="array" ref="J233">_xlfn.IFS(I233&lt;30,"Young Adult", I233&lt;50,"Adult",I233 &gt;=50,"Seniors")</f>
        <v>Adult</v>
      </c>
      <c r="K233" s="4" t="s">
        <v>2</v>
      </c>
      <c r="L233" s="4">
        <v>1</v>
      </c>
      <c r="M233" s="5">
        <v>25</v>
      </c>
      <c r="N233">
        <f>L233*M233</f>
        <v>25</v>
      </c>
      <c r="O233" s="15">
        <f>N233*$R$3</f>
        <v>0.375</v>
      </c>
    </row>
    <row r="234" spans="1:15">
      <c r="A234" s="2">
        <v>233</v>
      </c>
      <c r="B234" s="4">
        <f>YEAR(F234)</f>
        <v>2023</v>
      </c>
      <c r="C234" s="4">
        <f>MONTH(F234)</f>
        <v>12</v>
      </c>
      <c r="D234" s="4">
        <f>DAY(F234)</f>
        <v>29</v>
      </c>
      <c r="E234" s="4" t="str">
        <f t="shared" si="3"/>
        <v>Friday</v>
      </c>
      <c r="F234" s="3">
        <v>45289</v>
      </c>
      <c r="G234" s="4" t="s">
        <v>265</v>
      </c>
      <c r="H234" s="4" t="s">
        <v>7</v>
      </c>
      <c r="I234" s="4">
        <v>51</v>
      </c>
      <c r="J234" s="4" t="str" cm="1">
        <f t="array" ref="J234">_xlfn.IFS(I234&lt;30,"Young Adult", I234&lt;50,"Adult",I234 &gt;=50,"Seniors")</f>
        <v>Seniors</v>
      </c>
      <c r="K234" s="4" t="s">
        <v>2</v>
      </c>
      <c r="L234" s="4">
        <v>2</v>
      </c>
      <c r="M234" s="5">
        <v>300</v>
      </c>
      <c r="N234">
        <f>L234*M234</f>
        <v>600</v>
      </c>
      <c r="O234" s="15">
        <f>N234*$R$3</f>
        <v>9</v>
      </c>
    </row>
    <row r="235" spans="1:15">
      <c r="A235" s="2">
        <v>234</v>
      </c>
      <c r="B235" s="4">
        <f>YEAR(F235)</f>
        <v>2023</v>
      </c>
      <c r="C235" s="4">
        <f>MONTH(F235)</f>
        <v>11</v>
      </c>
      <c r="D235" s="4">
        <f>DAY(F235)</f>
        <v>20</v>
      </c>
      <c r="E235" s="4" t="str">
        <f t="shared" si="3"/>
        <v>Monday</v>
      </c>
      <c r="F235" s="3">
        <v>45250</v>
      </c>
      <c r="G235" s="4" t="s">
        <v>266</v>
      </c>
      <c r="H235" s="4" t="s">
        <v>7</v>
      </c>
      <c r="I235" s="4">
        <v>62</v>
      </c>
      <c r="J235" s="4" t="str" cm="1">
        <f t="array" ref="J235">_xlfn.IFS(I235&lt;30,"Young Adult", I235&lt;50,"Adult",I235 &gt;=50,"Seniors")</f>
        <v>Seniors</v>
      </c>
      <c r="K235" s="4" t="s">
        <v>4</v>
      </c>
      <c r="L235" s="4">
        <v>2</v>
      </c>
      <c r="M235" s="5">
        <v>25</v>
      </c>
      <c r="N235">
        <f>L235*M235</f>
        <v>50</v>
      </c>
      <c r="O235" s="15">
        <f>N235*$R$3</f>
        <v>0.75</v>
      </c>
    </row>
    <row r="236" spans="1:15">
      <c r="A236" s="2">
        <v>235</v>
      </c>
      <c r="B236" s="4">
        <f>YEAR(F236)</f>
        <v>2023</v>
      </c>
      <c r="C236" s="4">
        <f>MONTH(F236)</f>
        <v>1</v>
      </c>
      <c r="D236" s="4">
        <f>DAY(F236)</f>
        <v>31</v>
      </c>
      <c r="E236" s="4" t="str">
        <f t="shared" si="3"/>
        <v>Tuesday</v>
      </c>
      <c r="F236" s="3">
        <v>44957</v>
      </c>
      <c r="G236" s="4" t="s">
        <v>267</v>
      </c>
      <c r="H236" s="4" t="s">
        <v>7</v>
      </c>
      <c r="I236" s="4">
        <v>23</v>
      </c>
      <c r="J236" s="4" t="str" cm="1">
        <f t="array" ref="J236">_xlfn.IFS(I236&lt;30,"Young Adult", I236&lt;50,"Adult",I236 &gt;=50,"Seniors")</f>
        <v>Young Adult</v>
      </c>
      <c r="K236" s="4" t="s">
        <v>4</v>
      </c>
      <c r="L236" s="4">
        <v>2</v>
      </c>
      <c r="M236" s="5">
        <v>500</v>
      </c>
      <c r="N236">
        <f>L236*M236</f>
        <v>1000</v>
      </c>
      <c r="O236" s="15">
        <f>N236*$R$3</f>
        <v>15</v>
      </c>
    </row>
    <row r="237" spans="1:15">
      <c r="A237" s="2">
        <v>236</v>
      </c>
      <c r="B237" s="4">
        <f>YEAR(F237)</f>
        <v>2023</v>
      </c>
      <c r="C237" s="4">
        <f>MONTH(F237)</f>
        <v>4</v>
      </c>
      <c r="D237" s="4">
        <f>DAY(F237)</f>
        <v>28</v>
      </c>
      <c r="E237" s="4" t="str">
        <f t="shared" si="3"/>
        <v>Friday</v>
      </c>
      <c r="F237" s="3">
        <v>45044</v>
      </c>
      <c r="G237" s="4" t="s">
        <v>268</v>
      </c>
      <c r="H237" s="4" t="s">
        <v>7</v>
      </c>
      <c r="I237" s="4">
        <v>54</v>
      </c>
      <c r="J237" s="4" t="str" cm="1">
        <f t="array" ref="J237">_xlfn.IFS(I237&lt;30,"Young Adult", I237&lt;50,"Adult",I237 &gt;=50,"Seniors")</f>
        <v>Seniors</v>
      </c>
      <c r="K237" s="4" t="s">
        <v>3</v>
      </c>
      <c r="L237" s="4">
        <v>1</v>
      </c>
      <c r="M237" s="5">
        <v>25</v>
      </c>
      <c r="N237">
        <f>L237*M237</f>
        <v>25</v>
      </c>
      <c r="O237" s="15">
        <f>N237*$R$3</f>
        <v>0.375</v>
      </c>
    </row>
    <row r="238" spans="1:15">
      <c r="A238" s="2">
        <v>237</v>
      </c>
      <c r="B238" s="4">
        <f>YEAR(F238)</f>
        <v>2023</v>
      </c>
      <c r="C238" s="4">
        <f>MONTH(F238)</f>
        <v>2</v>
      </c>
      <c r="D238" s="4">
        <f>DAY(F238)</f>
        <v>4</v>
      </c>
      <c r="E238" s="4" t="str">
        <f t="shared" si="3"/>
        <v>Saturday</v>
      </c>
      <c r="F238" s="3">
        <v>44961</v>
      </c>
      <c r="G238" s="4" t="s">
        <v>269</v>
      </c>
      <c r="H238" s="4" t="s">
        <v>7</v>
      </c>
      <c r="I238" s="4">
        <v>50</v>
      </c>
      <c r="J238" s="4" t="str" cm="1">
        <f t="array" ref="J238">_xlfn.IFS(I238&lt;30,"Young Adult", I238&lt;50,"Adult",I238 &gt;=50,"Seniors")</f>
        <v>Seniors</v>
      </c>
      <c r="K238" s="4" t="s">
        <v>2</v>
      </c>
      <c r="L238" s="4">
        <v>2</v>
      </c>
      <c r="M238" s="5">
        <v>500</v>
      </c>
      <c r="N238">
        <f>L238*M238</f>
        <v>1000</v>
      </c>
      <c r="O238" s="15">
        <f>N238*$R$3</f>
        <v>15</v>
      </c>
    </row>
    <row r="239" spans="1:15">
      <c r="A239" s="2">
        <v>238</v>
      </c>
      <c r="B239" s="4">
        <f>YEAR(F239)</f>
        <v>2023</v>
      </c>
      <c r="C239" s="4">
        <f>MONTH(F239)</f>
        <v>1</v>
      </c>
      <c r="D239" s="4">
        <f>DAY(F239)</f>
        <v>17</v>
      </c>
      <c r="E239" s="4" t="str">
        <f t="shared" si="3"/>
        <v>Tuesday</v>
      </c>
      <c r="F239" s="3">
        <v>44943</v>
      </c>
      <c r="G239" s="4" t="s">
        <v>270</v>
      </c>
      <c r="H239" s="4" t="s">
        <v>7</v>
      </c>
      <c r="I239" s="4">
        <v>39</v>
      </c>
      <c r="J239" s="4" t="str" cm="1">
        <f t="array" ref="J239">_xlfn.IFS(I239&lt;30,"Young Adult", I239&lt;50,"Adult",I239 &gt;=50,"Seniors")</f>
        <v>Adult</v>
      </c>
      <c r="K239" s="4" t="s">
        <v>2</v>
      </c>
      <c r="L239" s="4">
        <v>1</v>
      </c>
      <c r="M239" s="5">
        <v>500</v>
      </c>
      <c r="N239">
        <f>L239*M239</f>
        <v>500</v>
      </c>
      <c r="O239" s="15">
        <f>N239*$R$3</f>
        <v>7.5</v>
      </c>
    </row>
    <row r="240" spans="1:15">
      <c r="A240" s="2">
        <v>239</v>
      </c>
      <c r="B240" s="4">
        <f>YEAR(F240)</f>
        <v>2023</v>
      </c>
      <c r="C240" s="4">
        <f>MONTH(F240)</f>
        <v>6</v>
      </c>
      <c r="D240" s="4">
        <f>DAY(F240)</f>
        <v>19</v>
      </c>
      <c r="E240" s="4" t="str">
        <f t="shared" si="3"/>
        <v>Monday</v>
      </c>
      <c r="F240" s="3">
        <v>45096</v>
      </c>
      <c r="G240" s="4" t="s">
        <v>271</v>
      </c>
      <c r="H240" s="4" t="s">
        <v>8</v>
      </c>
      <c r="I240" s="4">
        <v>38</v>
      </c>
      <c r="J240" s="4" t="str" cm="1">
        <f t="array" ref="J240">_xlfn.IFS(I240&lt;30,"Young Adult", I240&lt;50,"Adult",I240 &gt;=50,"Seniors")</f>
        <v>Adult</v>
      </c>
      <c r="K240" s="4" t="s">
        <v>4</v>
      </c>
      <c r="L240" s="4">
        <v>3</v>
      </c>
      <c r="M240" s="5">
        <v>500</v>
      </c>
      <c r="N240">
        <f>L240*M240</f>
        <v>1500</v>
      </c>
      <c r="O240" s="15">
        <f>N240*$R$3</f>
        <v>22.5</v>
      </c>
    </row>
    <row r="241" spans="1:15">
      <c r="A241" s="2">
        <v>240</v>
      </c>
      <c r="B241" s="4">
        <f>YEAR(F241)</f>
        <v>2023</v>
      </c>
      <c r="C241" s="4">
        <f>MONTH(F241)</f>
        <v>2</v>
      </c>
      <c r="D241" s="4">
        <f>DAY(F241)</f>
        <v>6</v>
      </c>
      <c r="E241" s="4" t="str">
        <f t="shared" si="3"/>
        <v>Monday</v>
      </c>
      <c r="F241" s="3">
        <v>44963</v>
      </c>
      <c r="G241" s="4" t="s">
        <v>272</v>
      </c>
      <c r="H241" s="4" t="s">
        <v>7</v>
      </c>
      <c r="I241" s="4">
        <v>23</v>
      </c>
      <c r="J241" s="4" t="str" cm="1">
        <f t="array" ref="J241">_xlfn.IFS(I241&lt;30,"Young Adult", I241&lt;50,"Adult",I241 &gt;=50,"Seniors")</f>
        <v>Young Adult</v>
      </c>
      <c r="K241" s="4" t="s">
        <v>2</v>
      </c>
      <c r="L241" s="4">
        <v>1</v>
      </c>
      <c r="M241" s="5">
        <v>300</v>
      </c>
      <c r="N241">
        <f>L241*M241</f>
        <v>300</v>
      </c>
      <c r="O241" s="15">
        <f>N241*$R$3</f>
        <v>4.5</v>
      </c>
    </row>
    <row r="242" spans="1:15">
      <c r="A242" s="2">
        <v>241</v>
      </c>
      <c r="B242" s="4">
        <f>YEAR(F242)</f>
        <v>2023</v>
      </c>
      <c r="C242" s="4">
        <f>MONTH(F242)</f>
        <v>9</v>
      </c>
      <c r="D242" s="4">
        <f>DAY(F242)</f>
        <v>21</v>
      </c>
      <c r="E242" s="4" t="str">
        <f t="shared" si="3"/>
        <v>Thursday</v>
      </c>
      <c r="F242" s="3">
        <v>45190</v>
      </c>
      <c r="G242" s="4" t="s">
        <v>273</v>
      </c>
      <c r="H242" s="4" t="s">
        <v>7</v>
      </c>
      <c r="I242" s="4">
        <v>23</v>
      </c>
      <c r="J242" s="4" t="str" cm="1">
        <f t="array" ref="J242">_xlfn.IFS(I242&lt;30,"Young Adult", I242&lt;50,"Adult",I242 &gt;=50,"Seniors")</f>
        <v>Young Adult</v>
      </c>
      <c r="K242" s="4" t="s">
        <v>4</v>
      </c>
      <c r="L242" s="4">
        <v>3</v>
      </c>
      <c r="M242" s="5">
        <v>25</v>
      </c>
      <c r="N242">
        <f>L242*M242</f>
        <v>75</v>
      </c>
      <c r="O242" s="15">
        <f>N242*$R$3</f>
        <v>1.125</v>
      </c>
    </row>
    <row r="243" spans="1:15">
      <c r="A243" s="2">
        <v>242</v>
      </c>
      <c r="B243" s="4">
        <f>YEAR(F243)</f>
        <v>2023</v>
      </c>
      <c r="C243" s="4">
        <f>MONTH(F243)</f>
        <v>5</v>
      </c>
      <c r="D243" s="4">
        <f>DAY(F243)</f>
        <v>2</v>
      </c>
      <c r="E243" s="4" t="str">
        <f t="shared" si="3"/>
        <v>Tuesday</v>
      </c>
      <c r="F243" s="3">
        <v>45048</v>
      </c>
      <c r="G243" s="4" t="s">
        <v>274</v>
      </c>
      <c r="H243" s="4" t="s">
        <v>8</v>
      </c>
      <c r="I243" s="4">
        <v>21</v>
      </c>
      <c r="J243" s="4" t="str" cm="1">
        <f t="array" ref="J243">_xlfn.IFS(I243&lt;30,"Young Adult", I243&lt;50,"Adult",I243 &gt;=50,"Seniors")</f>
        <v>Young Adult</v>
      </c>
      <c r="K243" s="4" t="s">
        <v>3</v>
      </c>
      <c r="L243" s="4">
        <v>1</v>
      </c>
      <c r="M243" s="5">
        <v>25</v>
      </c>
      <c r="N243">
        <f>L243*M243</f>
        <v>25</v>
      </c>
      <c r="O243" s="15">
        <f>N243*$R$3</f>
        <v>0.375</v>
      </c>
    </row>
    <row r="244" spans="1:15">
      <c r="A244" s="2">
        <v>243</v>
      </c>
      <c r="B244" s="4">
        <f>YEAR(F244)</f>
        <v>2023</v>
      </c>
      <c r="C244" s="4">
        <f>MONTH(F244)</f>
        <v>5</v>
      </c>
      <c r="D244" s="4">
        <f>DAY(F244)</f>
        <v>23</v>
      </c>
      <c r="E244" s="4" t="str">
        <f t="shared" si="3"/>
        <v>Tuesday</v>
      </c>
      <c r="F244" s="3">
        <v>45069</v>
      </c>
      <c r="G244" s="4" t="s">
        <v>275</v>
      </c>
      <c r="H244" s="4" t="s">
        <v>7</v>
      </c>
      <c r="I244" s="4">
        <v>47</v>
      </c>
      <c r="J244" s="4" t="str" cm="1">
        <f t="array" ref="J244">_xlfn.IFS(I244&lt;30,"Young Adult", I244&lt;50,"Adult",I244 &gt;=50,"Seniors")</f>
        <v>Adult</v>
      </c>
      <c r="K244" s="4" t="s">
        <v>4</v>
      </c>
      <c r="L244" s="4">
        <v>3</v>
      </c>
      <c r="M244" s="5">
        <v>300</v>
      </c>
      <c r="N244">
        <f>L244*M244</f>
        <v>900</v>
      </c>
      <c r="O244" s="15">
        <f>N244*$R$3</f>
        <v>13.5</v>
      </c>
    </row>
    <row r="245" spans="1:15">
      <c r="A245" s="2">
        <v>244</v>
      </c>
      <c r="B245" s="4">
        <f>YEAR(F245)</f>
        <v>2023</v>
      </c>
      <c r="C245" s="4">
        <f>MONTH(F245)</f>
        <v>12</v>
      </c>
      <c r="D245" s="4">
        <f>DAY(F245)</f>
        <v>9</v>
      </c>
      <c r="E245" s="4" t="str">
        <f t="shared" si="3"/>
        <v>Saturday</v>
      </c>
      <c r="F245" s="3">
        <v>45269</v>
      </c>
      <c r="G245" s="4" t="s">
        <v>276</v>
      </c>
      <c r="H245" s="4" t="s">
        <v>8</v>
      </c>
      <c r="I245" s="4">
        <v>28</v>
      </c>
      <c r="J245" s="4" t="str" cm="1">
        <f t="array" ref="J245">_xlfn.IFS(I245&lt;30,"Young Adult", I245&lt;50,"Adult",I245 &gt;=50,"Seniors")</f>
        <v>Young Adult</v>
      </c>
      <c r="K245" s="4" t="s">
        <v>2</v>
      </c>
      <c r="L245" s="4">
        <v>2</v>
      </c>
      <c r="M245" s="5">
        <v>50</v>
      </c>
      <c r="N245">
        <f>L245*M245</f>
        <v>100</v>
      </c>
      <c r="O245" s="15">
        <f>N245*$R$3</f>
        <v>1.5</v>
      </c>
    </row>
    <row r="246" spans="1:15">
      <c r="A246" s="2">
        <v>245</v>
      </c>
      <c r="B246" s="4">
        <f>YEAR(F246)</f>
        <v>2023</v>
      </c>
      <c r="C246" s="4">
        <f>MONTH(F246)</f>
        <v>9</v>
      </c>
      <c r="D246" s="4">
        <f>DAY(F246)</f>
        <v>6</v>
      </c>
      <c r="E246" s="4" t="str">
        <f t="shared" si="3"/>
        <v>Wednesday</v>
      </c>
      <c r="F246" s="3">
        <v>45175</v>
      </c>
      <c r="G246" s="4" t="s">
        <v>277</v>
      </c>
      <c r="H246" s="4" t="s">
        <v>8</v>
      </c>
      <c r="I246" s="4">
        <v>47</v>
      </c>
      <c r="J246" s="4" t="str" cm="1">
        <f t="array" ref="J246">_xlfn.IFS(I246&lt;30,"Young Adult", I246&lt;50,"Adult",I246 &gt;=50,"Seniors")</f>
        <v>Adult</v>
      </c>
      <c r="K246" s="4" t="s">
        <v>3</v>
      </c>
      <c r="L246" s="4">
        <v>3</v>
      </c>
      <c r="M246" s="5">
        <v>30</v>
      </c>
      <c r="N246">
        <f>L246*M246</f>
        <v>90</v>
      </c>
      <c r="O246" s="15">
        <f>N246*$R$3</f>
        <v>1.3499999999999999</v>
      </c>
    </row>
    <row r="247" spans="1:15">
      <c r="A247" s="2">
        <v>246</v>
      </c>
      <c r="B247" s="4">
        <f>YEAR(F247)</f>
        <v>2023</v>
      </c>
      <c r="C247" s="4">
        <f>MONTH(F247)</f>
        <v>4</v>
      </c>
      <c r="D247" s="4">
        <f>DAY(F247)</f>
        <v>20</v>
      </c>
      <c r="E247" s="4" t="str">
        <f t="shared" si="3"/>
        <v>Thursday</v>
      </c>
      <c r="F247" s="3">
        <v>45036</v>
      </c>
      <c r="G247" s="4" t="s">
        <v>278</v>
      </c>
      <c r="H247" s="4" t="s">
        <v>7</v>
      </c>
      <c r="I247" s="4">
        <v>48</v>
      </c>
      <c r="J247" s="4" t="str" cm="1">
        <f t="array" ref="J247">_xlfn.IFS(I247&lt;30,"Young Adult", I247&lt;50,"Adult",I247 &gt;=50,"Seniors")</f>
        <v>Adult</v>
      </c>
      <c r="K247" s="4" t="s">
        <v>4</v>
      </c>
      <c r="L247" s="4">
        <v>2</v>
      </c>
      <c r="M247" s="5">
        <v>25</v>
      </c>
      <c r="N247">
        <f>L247*M247</f>
        <v>50</v>
      </c>
      <c r="O247" s="15">
        <f>N247*$R$3</f>
        <v>0.75</v>
      </c>
    </row>
    <row r="248" spans="1:15">
      <c r="A248" s="2">
        <v>247</v>
      </c>
      <c r="B248" s="4">
        <f>YEAR(F248)</f>
        <v>2023</v>
      </c>
      <c r="C248" s="4">
        <f>MONTH(F248)</f>
        <v>10</v>
      </c>
      <c r="D248" s="4">
        <f>DAY(F248)</f>
        <v>4</v>
      </c>
      <c r="E248" s="4" t="str">
        <f t="shared" si="3"/>
        <v>Wednesday</v>
      </c>
      <c r="F248" s="3">
        <v>45203</v>
      </c>
      <c r="G248" s="4" t="s">
        <v>279</v>
      </c>
      <c r="H248" s="4" t="s">
        <v>8</v>
      </c>
      <c r="I248" s="4">
        <v>41</v>
      </c>
      <c r="J248" s="4" t="str" cm="1">
        <f t="array" ref="J248">_xlfn.IFS(I248&lt;30,"Young Adult", I248&lt;50,"Adult",I248 &gt;=50,"Seniors")</f>
        <v>Adult</v>
      </c>
      <c r="K248" s="4" t="s">
        <v>4</v>
      </c>
      <c r="L248" s="4">
        <v>2</v>
      </c>
      <c r="M248" s="5">
        <v>30</v>
      </c>
      <c r="N248">
        <f>L248*M248</f>
        <v>60</v>
      </c>
      <c r="O248" s="15">
        <f>N248*$R$3</f>
        <v>0.89999999999999991</v>
      </c>
    </row>
    <row r="249" spans="1:15">
      <c r="A249" s="2">
        <v>248</v>
      </c>
      <c r="B249" s="4">
        <f>YEAR(F249)</f>
        <v>2023</v>
      </c>
      <c r="C249" s="4">
        <f>MONTH(F249)</f>
        <v>3</v>
      </c>
      <c r="D249" s="4">
        <f>DAY(F249)</f>
        <v>9</v>
      </c>
      <c r="E249" s="4" t="str">
        <f t="shared" si="3"/>
        <v>Thursday</v>
      </c>
      <c r="F249" s="3">
        <v>44994</v>
      </c>
      <c r="G249" s="4" t="s">
        <v>280</v>
      </c>
      <c r="H249" s="4" t="s">
        <v>8</v>
      </c>
      <c r="I249" s="4">
        <v>26</v>
      </c>
      <c r="J249" s="4" t="str" cm="1">
        <f t="array" ref="J249">_xlfn.IFS(I249&lt;30,"Young Adult", I249&lt;50,"Adult",I249 &gt;=50,"Seniors")</f>
        <v>Young Adult</v>
      </c>
      <c r="K249" s="4" t="s">
        <v>3</v>
      </c>
      <c r="L249" s="4">
        <v>3</v>
      </c>
      <c r="M249" s="5">
        <v>300</v>
      </c>
      <c r="N249">
        <f>L249*M249</f>
        <v>900</v>
      </c>
      <c r="O249" s="15">
        <f>N249*$R$3</f>
        <v>13.5</v>
      </c>
    </row>
    <row r="250" spans="1:15">
      <c r="A250" s="2">
        <v>249</v>
      </c>
      <c r="B250" s="4">
        <f>YEAR(F250)</f>
        <v>2023</v>
      </c>
      <c r="C250" s="4">
        <f>MONTH(F250)</f>
        <v>10</v>
      </c>
      <c r="D250" s="4">
        <f>DAY(F250)</f>
        <v>20</v>
      </c>
      <c r="E250" s="4" t="str">
        <f t="shared" si="3"/>
        <v>Friday</v>
      </c>
      <c r="F250" s="3">
        <v>45219</v>
      </c>
      <c r="G250" s="4" t="s">
        <v>281</v>
      </c>
      <c r="H250" s="4" t="s">
        <v>8</v>
      </c>
      <c r="I250" s="4">
        <v>20</v>
      </c>
      <c r="J250" s="4" t="str" cm="1">
        <f t="array" ref="J250">_xlfn.IFS(I250&lt;30,"Young Adult", I250&lt;50,"Adult",I250 &gt;=50,"Seniors")</f>
        <v>Young Adult</v>
      </c>
      <c r="K250" s="4" t="s">
        <v>3</v>
      </c>
      <c r="L250" s="4">
        <v>1</v>
      </c>
      <c r="M250" s="5">
        <v>50</v>
      </c>
      <c r="N250">
        <f>L250*M250</f>
        <v>50</v>
      </c>
      <c r="O250" s="15">
        <f>N250*$R$3</f>
        <v>0.75</v>
      </c>
    </row>
    <row r="251" spans="1:15">
      <c r="A251" s="2">
        <v>250</v>
      </c>
      <c r="B251" s="4">
        <f>YEAR(F251)</f>
        <v>2023</v>
      </c>
      <c r="C251" s="4">
        <f>MONTH(F251)</f>
        <v>10</v>
      </c>
      <c r="D251" s="4">
        <f>DAY(F251)</f>
        <v>23</v>
      </c>
      <c r="E251" s="4" t="str">
        <f t="shared" si="3"/>
        <v>Monday</v>
      </c>
      <c r="F251" s="3">
        <v>45222</v>
      </c>
      <c r="G251" s="4" t="s">
        <v>282</v>
      </c>
      <c r="H251" s="4" t="s">
        <v>8</v>
      </c>
      <c r="I251" s="4">
        <v>48</v>
      </c>
      <c r="J251" s="4" t="str" cm="1">
        <f t="array" ref="J251">_xlfn.IFS(I251&lt;30,"Young Adult", I251&lt;50,"Adult",I251 &gt;=50,"Seniors")</f>
        <v>Adult</v>
      </c>
      <c r="K251" s="4" t="s">
        <v>4</v>
      </c>
      <c r="L251" s="4">
        <v>1</v>
      </c>
      <c r="M251" s="5">
        <v>50</v>
      </c>
      <c r="N251">
        <f>L251*M251</f>
        <v>50</v>
      </c>
      <c r="O251" s="15">
        <f>N251*$R$3</f>
        <v>0.75</v>
      </c>
    </row>
    <row r="252" spans="1:15">
      <c r="A252" s="2">
        <v>251</v>
      </c>
      <c r="B252" s="4">
        <f>YEAR(F252)</f>
        <v>2023</v>
      </c>
      <c r="C252" s="4">
        <f>MONTH(F252)</f>
        <v>8</v>
      </c>
      <c r="D252" s="4">
        <f>DAY(F252)</f>
        <v>31</v>
      </c>
      <c r="E252" s="4" t="str">
        <f t="shared" si="3"/>
        <v>Thursday</v>
      </c>
      <c r="F252" s="3">
        <v>45169</v>
      </c>
      <c r="G252" s="4" t="s">
        <v>283</v>
      </c>
      <c r="H252" s="4" t="s">
        <v>7</v>
      </c>
      <c r="I252" s="4">
        <v>57</v>
      </c>
      <c r="J252" s="4" t="str" cm="1">
        <f t="array" ref="J252">_xlfn.IFS(I252&lt;30,"Young Adult", I252&lt;50,"Adult",I252 &gt;=50,"Seniors")</f>
        <v>Seniors</v>
      </c>
      <c r="K252" s="4" t="s">
        <v>2</v>
      </c>
      <c r="L252" s="4">
        <v>4</v>
      </c>
      <c r="M252" s="5">
        <v>50</v>
      </c>
      <c r="N252">
        <f>L252*M252</f>
        <v>200</v>
      </c>
      <c r="O252" s="15">
        <f>N252*$R$3</f>
        <v>3</v>
      </c>
    </row>
    <row r="253" spans="1:15">
      <c r="A253" s="2">
        <v>252</v>
      </c>
      <c r="B253" s="4">
        <f>YEAR(F253)</f>
        <v>2023</v>
      </c>
      <c r="C253" s="4">
        <f>MONTH(F253)</f>
        <v>5</v>
      </c>
      <c r="D253" s="4">
        <f>DAY(F253)</f>
        <v>5</v>
      </c>
      <c r="E253" s="4" t="str">
        <f t="shared" si="3"/>
        <v>Friday</v>
      </c>
      <c r="F253" s="3">
        <v>45051</v>
      </c>
      <c r="G253" s="4" t="s">
        <v>284</v>
      </c>
      <c r="H253" s="4" t="s">
        <v>8</v>
      </c>
      <c r="I253" s="4">
        <v>54</v>
      </c>
      <c r="J253" s="4" t="str" cm="1">
        <f t="array" ref="J253">_xlfn.IFS(I253&lt;30,"Young Adult", I253&lt;50,"Adult",I253 &gt;=50,"Seniors")</f>
        <v>Seniors</v>
      </c>
      <c r="K253" s="4" t="s">
        <v>4</v>
      </c>
      <c r="L253" s="4">
        <v>1</v>
      </c>
      <c r="M253" s="5">
        <v>300</v>
      </c>
      <c r="N253">
        <f>L253*M253</f>
        <v>300</v>
      </c>
      <c r="O253" s="15">
        <f>N253*$R$3</f>
        <v>4.5</v>
      </c>
    </row>
    <row r="254" spans="1:15">
      <c r="A254" s="2">
        <v>253</v>
      </c>
      <c r="B254" s="4">
        <f>YEAR(F254)</f>
        <v>2023</v>
      </c>
      <c r="C254" s="4">
        <f>MONTH(F254)</f>
        <v>8</v>
      </c>
      <c r="D254" s="4">
        <f>DAY(F254)</f>
        <v>31</v>
      </c>
      <c r="E254" s="4" t="str">
        <f t="shared" si="3"/>
        <v>Thursday</v>
      </c>
      <c r="F254" s="3">
        <v>45169</v>
      </c>
      <c r="G254" s="4" t="s">
        <v>285</v>
      </c>
      <c r="H254" s="4" t="s">
        <v>7</v>
      </c>
      <c r="I254" s="4">
        <v>53</v>
      </c>
      <c r="J254" s="4" t="str" cm="1">
        <f t="array" ref="J254">_xlfn.IFS(I254&lt;30,"Young Adult", I254&lt;50,"Adult",I254 &gt;=50,"Seniors")</f>
        <v>Seniors</v>
      </c>
      <c r="K254" s="4" t="s">
        <v>3</v>
      </c>
      <c r="L254" s="4">
        <v>4</v>
      </c>
      <c r="M254" s="5">
        <v>500</v>
      </c>
      <c r="N254">
        <f>L254*M254</f>
        <v>2000</v>
      </c>
      <c r="O254" s="15">
        <f>N254*$R$3</f>
        <v>30</v>
      </c>
    </row>
    <row r="255" spans="1:15">
      <c r="A255" s="2">
        <v>254</v>
      </c>
      <c r="B255" s="4">
        <f>YEAR(F255)</f>
        <v>2023</v>
      </c>
      <c r="C255" s="4">
        <f>MONTH(F255)</f>
        <v>7</v>
      </c>
      <c r="D255" s="4">
        <f>DAY(F255)</f>
        <v>28</v>
      </c>
      <c r="E255" s="4" t="str">
        <f t="shared" si="3"/>
        <v>Friday</v>
      </c>
      <c r="F255" s="3">
        <v>45135</v>
      </c>
      <c r="G255" s="4" t="s">
        <v>286</v>
      </c>
      <c r="H255" s="4" t="s">
        <v>8</v>
      </c>
      <c r="I255" s="4">
        <v>41</v>
      </c>
      <c r="J255" s="4" t="str" cm="1">
        <f t="array" ref="J255">_xlfn.IFS(I255&lt;30,"Young Adult", I255&lt;50,"Adult",I255 &gt;=50,"Seniors")</f>
        <v>Adult</v>
      </c>
      <c r="K255" s="4" t="s">
        <v>4</v>
      </c>
      <c r="L255" s="4">
        <v>1</v>
      </c>
      <c r="M255" s="5">
        <v>500</v>
      </c>
      <c r="N255">
        <f>L255*M255</f>
        <v>500</v>
      </c>
      <c r="O255" s="15">
        <f>N255*$R$3</f>
        <v>7.5</v>
      </c>
    </row>
    <row r="256" spans="1:15">
      <c r="A256" s="2">
        <v>255</v>
      </c>
      <c r="B256" s="4">
        <f>YEAR(F256)</f>
        <v>2023</v>
      </c>
      <c r="C256" s="4">
        <f>MONTH(F256)</f>
        <v>4</v>
      </c>
      <c r="D256" s="4">
        <f>DAY(F256)</f>
        <v>8</v>
      </c>
      <c r="E256" s="4" t="str">
        <f t="shared" si="3"/>
        <v>Saturday</v>
      </c>
      <c r="F256" s="3">
        <v>45024</v>
      </c>
      <c r="G256" s="4" t="s">
        <v>287</v>
      </c>
      <c r="H256" s="4" t="s">
        <v>8</v>
      </c>
      <c r="I256" s="4">
        <v>48</v>
      </c>
      <c r="J256" s="4" t="str" cm="1">
        <f t="array" ref="J256">_xlfn.IFS(I256&lt;30,"Young Adult", I256&lt;50,"Adult",I256 &gt;=50,"Seniors")</f>
        <v>Adult</v>
      </c>
      <c r="K256" s="4" t="s">
        <v>3</v>
      </c>
      <c r="L256" s="4">
        <v>1</v>
      </c>
      <c r="M256" s="5">
        <v>30</v>
      </c>
      <c r="N256">
        <f>L256*M256</f>
        <v>30</v>
      </c>
      <c r="O256" s="15">
        <f>N256*$R$3</f>
        <v>0.44999999999999996</v>
      </c>
    </row>
    <row r="257" spans="1:15">
      <c r="A257" s="2">
        <v>256</v>
      </c>
      <c r="B257" s="4">
        <f>YEAR(F257)</f>
        <v>2023</v>
      </c>
      <c r="C257" s="4">
        <f>MONTH(F257)</f>
        <v>2</v>
      </c>
      <c r="D257" s="4">
        <f>DAY(F257)</f>
        <v>18</v>
      </c>
      <c r="E257" s="4" t="str">
        <f t="shared" si="3"/>
        <v>Saturday</v>
      </c>
      <c r="F257" s="3">
        <v>44975</v>
      </c>
      <c r="G257" s="4" t="s">
        <v>288</v>
      </c>
      <c r="H257" s="4" t="s">
        <v>8</v>
      </c>
      <c r="I257" s="4">
        <v>23</v>
      </c>
      <c r="J257" s="4" t="str" cm="1">
        <f t="array" ref="J257">_xlfn.IFS(I257&lt;30,"Young Adult", I257&lt;50,"Adult",I257 &gt;=50,"Seniors")</f>
        <v>Young Adult</v>
      </c>
      <c r="K257" s="4" t="s">
        <v>3</v>
      </c>
      <c r="L257" s="4">
        <v>2</v>
      </c>
      <c r="M257" s="5">
        <v>500</v>
      </c>
      <c r="N257">
        <f>L257*M257</f>
        <v>1000</v>
      </c>
      <c r="O257" s="15">
        <f>N257*$R$3</f>
        <v>15</v>
      </c>
    </row>
    <row r="258" spans="1:15">
      <c r="A258" s="2">
        <v>257</v>
      </c>
      <c r="B258" s="4">
        <f>YEAR(F258)</f>
        <v>2023</v>
      </c>
      <c r="C258" s="4">
        <f>MONTH(F258)</f>
        <v>2</v>
      </c>
      <c r="D258" s="4">
        <f>DAY(F258)</f>
        <v>19</v>
      </c>
      <c r="E258" s="4" t="str">
        <f t="shared" si="3"/>
        <v>Sunday</v>
      </c>
      <c r="F258" s="3">
        <v>44976</v>
      </c>
      <c r="G258" s="4" t="s">
        <v>289</v>
      </c>
      <c r="H258" s="4" t="s">
        <v>8</v>
      </c>
      <c r="I258" s="4">
        <v>19</v>
      </c>
      <c r="J258" s="4" t="str" cm="1">
        <f t="array" ref="J258">_xlfn.IFS(I258&lt;30,"Young Adult", I258&lt;50,"Adult",I258 &gt;=50,"Seniors")</f>
        <v>Young Adult</v>
      </c>
      <c r="K258" s="4" t="s">
        <v>2</v>
      </c>
      <c r="L258" s="4">
        <v>4</v>
      </c>
      <c r="M258" s="5">
        <v>500</v>
      </c>
      <c r="N258">
        <f>L258*M258</f>
        <v>2000</v>
      </c>
      <c r="O258" s="15">
        <f>N258*$R$3</f>
        <v>30</v>
      </c>
    </row>
    <row r="259" spans="1:15">
      <c r="A259" s="2">
        <v>258</v>
      </c>
      <c r="B259" s="4">
        <f>YEAR(F259)</f>
        <v>2023</v>
      </c>
      <c r="C259" s="4">
        <f>MONTH(F259)</f>
        <v>12</v>
      </c>
      <c r="D259" s="4">
        <f>DAY(F259)</f>
        <v>4</v>
      </c>
      <c r="E259" s="4" t="str">
        <f t="shared" ref="E259:E322" si="4">TEXT(F259,"dddd")</f>
        <v>Monday</v>
      </c>
      <c r="F259" s="3">
        <v>45264</v>
      </c>
      <c r="G259" s="4" t="s">
        <v>290</v>
      </c>
      <c r="H259" s="4" t="s">
        <v>7</v>
      </c>
      <c r="I259" s="4">
        <v>37</v>
      </c>
      <c r="J259" s="4" t="str" cm="1">
        <f t="array" ref="J259">_xlfn.IFS(I259&lt;30,"Young Adult", I259&lt;50,"Adult",I259 &gt;=50,"Seniors")</f>
        <v>Adult</v>
      </c>
      <c r="K259" s="4" t="s">
        <v>3</v>
      </c>
      <c r="L259" s="4">
        <v>1</v>
      </c>
      <c r="M259" s="5">
        <v>50</v>
      </c>
      <c r="N259">
        <f>L259*M259</f>
        <v>50</v>
      </c>
      <c r="O259" s="15">
        <f>N259*$R$3</f>
        <v>0.75</v>
      </c>
    </row>
    <row r="260" spans="1:15">
      <c r="A260" s="2">
        <v>259</v>
      </c>
      <c r="B260" s="4">
        <f>YEAR(F260)</f>
        <v>2023</v>
      </c>
      <c r="C260" s="4">
        <f>MONTH(F260)</f>
        <v>8</v>
      </c>
      <c r="D260" s="4">
        <f>DAY(F260)</f>
        <v>9</v>
      </c>
      <c r="E260" s="4" t="str">
        <f t="shared" si="4"/>
        <v>Wednesday</v>
      </c>
      <c r="F260" s="3">
        <v>45147</v>
      </c>
      <c r="G260" s="4" t="s">
        <v>291</v>
      </c>
      <c r="H260" s="4" t="s">
        <v>7</v>
      </c>
      <c r="I260" s="4">
        <v>45</v>
      </c>
      <c r="J260" s="4" t="str" cm="1">
        <f t="array" ref="J260">_xlfn.IFS(I260&lt;30,"Young Adult", I260&lt;50,"Adult",I260 &gt;=50,"Seniors")</f>
        <v>Adult</v>
      </c>
      <c r="K260" s="4" t="s">
        <v>3</v>
      </c>
      <c r="L260" s="4">
        <v>4</v>
      </c>
      <c r="M260" s="5">
        <v>50</v>
      </c>
      <c r="N260">
        <f>L260*M260</f>
        <v>200</v>
      </c>
      <c r="O260" s="15">
        <f>N260*$R$3</f>
        <v>3</v>
      </c>
    </row>
    <row r="261" spans="1:15">
      <c r="A261" s="2">
        <v>260</v>
      </c>
      <c r="B261" s="4">
        <f>YEAR(F261)</f>
        <v>2023</v>
      </c>
      <c r="C261" s="4">
        <f>MONTH(F261)</f>
        <v>7</v>
      </c>
      <c r="D261" s="4">
        <f>DAY(F261)</f>
        <v>1</v>
      </c>
      <c r="E261" s="4" t="str">
        <f t="shared" si="4"/>
        <v>Saturday</v>
      </c>
      <c r="F261" s="3">
        <v>45108</v>
      </c>
      <c r="G261" s="4" t="s">
        <v>292</v>
      </c>
      <c r="H261" s="4" t="s">
        <v>8</v>
      </c>
      <c r="I261" s="4">
        <v>28</v>
      </c>
      <c r="J261" s="4" t="str" cm="1">
        <f t="array" ref="J261">_xlfn.IFS(I261&lt;30,"Young Adult", I261&lt;50,"Adult",I261 &gt;=50,"Seniors")</f>
        <v>Young Adult</v>
      </c>
      <c r="K261" s="4" t="s">
        <v>2</v>
      </c>
      <c r="L261" s="4">
        <v>2</v>
      </c>
      <c r="M261" s="5">
        <v>30</v>
      </c>
      <c r="N261">
        <f>L261*M261</f>
        <v>60</v>
      </c>
      <c r="O261" s="15">
        <f>N261*$R$3</f>
        <v>0.89999999999999991</v>
      </c>
    </row>
    <row r="262" spans="1:15">
      <c r="A262" s="2">
        <v>261</v>
      </c>
      <c r="B262" s="4">
        <f>YEAR(F262)</f>
        <v>2023</v>
      </c>
      <c r="C262" s="4">
        <f>MONTH(F262)</f>
        <v>8</v>
      </c>
      <c r="D262" s="4">
        <f>DAY(F262)</f>
        <v>5</v>
      </c>
      <c r="E262" s="4" t="str">
        <f t="shared" si="4"/>
        <v>Saturday</v>
      </c>
      <c r="F262" s="3">
        <v>45143</v>
      </c>
      <c r="G262" s="4" t="s">
        <v>293</v>
      </c>
      <c r="H262" s="4" t="s">
        <v>8</v>
      </c>
      <c r="I262" s="4">
        <v>21</v>
      </c>
      <c r="J262" s="4" t="str" cm="1">
        <f t="array" ref="J262">_xlfn.IFS(I262&lt;30,"Young Adult", I262&lt;50,"Adult",I262 &gt;=50,"Seniors")</f>
        <v>Young Adult</v>
      </c>
      <c r="K262" s="4" t="s">
        <v>3</v>
      </c>
      <c r="L262" s="4">
        <v>2</v>
      </c>
      <c r="M262" s="5">
        <v>25</v>
      </c>
      <c r="N262">
        <f>L262*M262</f>
        <v>50</v>
      </c>
      <c r="O262" s="15">
        <f>N262*$R$3</f>
        <v>0.75</v>
      </c>
    </row>
    <row r="263" spans="1:15">
      <c r="A263" s="2">
        <v>262</v>
      </c>
      <c r="B263" s="4">
        <f>YEAR(F263)</f>
        <v>2023</v>
      </c>
      <c r="C263" s="4">
        <f>MONTH(F263)</f>
        <v>7</v>
      </c>
      <c r="D263" s="4">
        <f>DAY(F263)</f>
        <v>30</v>
      </c>
      <c r="E263" s="4" t="str">
        <f t="shared" si="4"/>
        <v>Sunday</v>
      </c>
      <c r="F263" s="3">
        <v>45137</v>
      </c>
      <c r="G263" s="4" t="s">
        <v>294</v>
      </c>
      <c r="H263" s="4" t="s">
        <v>7</v>
      </c>
      <c r="I263" s="4">
        <v>32</v>
      </c>
      <c r="J263" s="4" t="str" cm="1">
        <f t="array" ref="J263">_xlfn.IFS(I263&lt;30,"Young Adult", I263&lt;50,"Adult",I263 &gt;=50,"Seniors")</f>
        <v>Adult</v>
      </c>
      <c r="K263" s="4" t="s">
        <v>2</v>
      </c>
      <c r="L263" s="4">
        <v>4</v>
      </c>
      <c r="M263" s="5">
        <v>30</v>
      </c>
      <c r="N263">
        <f>L263*M263</f>
        <v>120</v>
      </c>
      <c r="O263" s="15">
        <f>N263*$R$3</f>
        <v>1.7999999999999998</v>
      </c>
    </row>
    <row r="264" spans="1:15">
      <c r="A264" s="2">
        <v>263</v>
      </c>
      <c r="B264" s="4">
        <f>YEAR(F264)</f>
        <v>2023</v>
      </c>
      <c r="C264" s="4">
        <f>MONTH(F264)</f>
        <v>8</v>
      </c>
      <c r="D264" s="4">
        <f>DAY(F264)</f>
        <v>28</v>
      </c>
      <c r="E264" s="4" t="str">
        <f t="shared" si="4"/>
        <v>Monday</v>
      </c>
      <c r="F264" s="3">
        <v>45166</v>
      </c>
      <c r="G264" s="4" t="s">
        <v>295</v>
      </c>
      <c r="H264" s="4" t="s">
        <v>8</v>
      </c>
      <c r="I264" s="4">
        <v>23</v>
      </c>
      <c r="J264" s="4" t="str" cm="1">
        <f t="array" ref="J264">_xlfn.IFS(I264&lt;30,"Young Adult", I264&lt;50,"Adult",I264 &gt;=50,"Seniors")</f>
        <v>Young Adult</v>
      </c>
      <c r="K264" s="4" t="s">
        <v>2</v>
      </c>
      <c r="L264" s="4">
        <v>2</v>
      </c>
      <c r="M264" s="5">
        <v>30</v>
      </c>
      <c r="N264">
        <f>L264*M264</f>
        <v>60</v>
      </c>
      <c r="O264" s="15">
        <f>N264*$R$3</f>
        <v>0.89999999999999991</v>
      </c>
    </row>
    <row r="265" spans="1:15">
      <c r="A265" s="2">
        <v>264</v>
      </c>
      <c r="B265" s="4">
        <f>YEAR(F265)</f>
        <v>2023</v>
      </c>
      <c r="C265" s="4">
        <f>MONTH(F265)</f>
        <v>1</v>
      </c>
      <c r="D265" s="4">
        <f>DAY(F265)</f>
        <v>28</v>
      </c>
      <c r="E265" s="4" t="str">
        <f t="shared" si="4"/>
        <v>Saturday</v>
      </c>
      <c r="F265" s="3">
        <v>44954</v>
      </c>
      <c r="G265" s="4" t="s">
        <v>296</v>
      </c>
      <c r="H265" s="4" t="s">
        <v>8</v>
      </c>
      <c r="I265" s="4">
        <v>47</v>
      </c>
      <c r="J265" s="4" t="str" cm="1">
        <f t="array" ref="J265">_xlfn.IFS(I265&lt;30,"Young Adult", I265&lt;50,"Adult",I265 &gt;=50,"Seniors")</f>
        <v>Adult</v>
      </c>
      <c r="K265" s="4" t="s">
        <v>3</v>
      </c>
      <c r="L265" s="4">
        <v>3</v>
      </c>
      <c r="M265" s="5">
        <v>300</v>
      </c>
      <c r="N265">
        <f>L265*M265</f>
        <v>900</v>
      </c>
      <c r="O265" s="15">
        <f>N265*$R$3</f>
        <v>13.5</v>
      </c>
    </row>
    <row r="266" spans="1:15">
      <c r="A266" s="2">
        <v>265</v>
      </c>
      <c r="B266" s="4">
        <f>YEAR(F266)</f>
        <v>2023</v>
      </c>
      <c r="C266" s="4">
        <f>MONTH(F266)</f>
        <v>12</v>
      </c>
      <c r="D266" s="4">
        <f>DAY(F266)</f>
        <v>11</v>
      </c>
      <c r="E266" s="4" t="str">
        <f t="shared" si="4"/>
        <v>Monday</v>
      </c>
      <c r="F266" s="3">
        <v>45271</v>
      </c>
      <c r="G266" s="4" t="s">
        <v>297</v>
      </c>
      <c r="H266" s="4" t="s">
        <v>8</v>
      </c>
      <c r="I266" s="4">
        <v>55</v>
      </c>
      <c r="J266" s="4" t="str" cm="1">
        <f t="array" ref="J266">_xlfn.IFS(I266&lt;30,"Young Adult", I266&lt;50,"Adult",I266 &gt;=50,"Seniors")</f>
        <v>Seniors</v>
      </c>
      <c r="K266" s="4" t="s">
        <v>3</v>
      </c>
      <c r="L266" s="4">
        <v>3</v>
      </c>
      <c r="M266" s="5">
        <v>300</v>
      </c>
      <c r="N266">
        <f>L266*M266</f>
        <v>900</v>
      </c>
      <c r="O266" s="15">
        <f>N266*$R$3</f>
        <v>13.5</v>
      </c>
    </row>
    <row r="267" spans="1:15">
      <c r="A267" s="2">
        <v>266</v>
      </c>
      <c r="B267" s="4">
        <f>YEAR(F267)</f>
        <v>2023</v>
      </c>
      <c r="C267" s="4">
        <f>MONTH(F267)</f>
        <v>12</v>
      </c>
      <c r="D267" s="4">
        <f>DAY(F267)</f>
        <v>1</v>
      </c>
      <c r="E267" s="4" t="str">
        <f t="shared" si="4"/>
        <v>Friday</v>
      </c>
      <c r="F267" s="3">
        <v>45261</v>
      </c>
      <c r="G267" s="4" t="s">
        <v>298</v>
      </c>
      <c r="H267" s="4" t="s">
        <v>7</v>
      </c>
      <c r="I267" s="4">
        <v>19</v>
      </c>
      <c r="J267" s="4" t="str" cm="1">
        <f t="array" ref="J267">_xlfn.IFS(I267&lt;30,"Young Adult", I267&lt;50,"Adult",I267 &gt;=50,"Seniors")</f>
        <v>Young Adult</v>
      </c>
      <c r="K267" s="4" t="s">
        <v>4</v>
      </c>
      <c r="L267" s="4">
        <v>2</v>
      </c>
      <c r="M267" s="5">
        <v>30</v>
      </c>
      <c r="N267">
        <f>L267*M267</f>
        <v>60</v>
      </c>
      <c r="O267" s="15">
        <f>N267*$R$3</f>
        <v>0.89999999999999991</v>
      </c>
    </row>
    <row r="268" spans="1:15">
      <c r="A268" s="2">
        <v>267</v>
      </c>
      <c r="B268" s="4">
        <f>YEAR(F268)</f>
        <v>2023</v>
      </c>
      <c r="C268" s="4">
        <f>MONTH(F268)</f>
        <v>11</v>
      </c>
      <c r="D268" s="4">
        <f>DAY(F268)</f>
        <v>27</v>
      </c>
      <c r="E268" s="4" t="str">
        <f t="shared" si="4"/>
        <v>Monday</v>
      </c>
      <c r="F268" s="3">
        <v>45257</v>
      </c>
      <c r="G268" s="4" t="s">
        <v>299</v>
      </c>
      <c r="H268" s="4" t="s">
        <v>7</v>
      </c>
      <c r="I268" s="4">
        <v>32</v>
      </c>
      <c r="J268" s="4" t="str" cm="1">
        <f t="array" ref="J268">_xlfn.IFS(I268&lt;30,"Young Adult", I268&lt;50,"Adult",I268 &gt;=50,"Seniors")</f>
        <v>Adult</v>
      </c>
      <c r="K268" s="4" t="s">
        <v>2</v>
      </c>
      <c r="L268" s="4">
        <v>3</v>
      </c>
      <c r="M268" s="5">
        <v>30</v>
      </c>
      <c r="N268">
        <f>L268*M268</f>
        <v>90</v>
      </c>
      <c r="O268" s="15">
        <f>N268*$R$3</f>
        <v>1.3499999999999999</v>
      </c>
    </row>
    <row r="269" spans="1:15">
      <c r="A269" s="2">
        <v>268</v>
      </c>
      <c r="B269" s="4">
        <f>YEAR(F269)</f>
        <v>2023</v>
      </c>
      <c r="C269" s="4">
        <f>MONTH(F269)</f>
        <v>2</v>
      </c>
      <c r="D269" s="4">
        <f>DAY(F269)</f>
        <v>20</v>
      </c>
      <c r="E269" s="4" t="str">
        <f t="shared" si="4"/>
        <v>Monday</v>
      </c>
      <c r="F269" s="3">
        <v>44977</v>
      </c>
      <c r="G269" s="4" t="s">
        <v>300</v>
      </c>
      <c r="H269" s="4" t="s">
        <v>7</v>
      </c>
      <c r="I269" s="4">
        <v>28</v>
      </c>
      <c r="J269" s="4" t="str" cm="1">
        <f t="array" ref="J269">_xlfn.IFS(I269&lt;30,"Young Adult", I269&lt;50,"Adult",I269 &gt;=50,"Seniors")</f>
        <v>Young Adult</v>
      </c>
      <c r="K269" s="4" t="s">
        <v>4</v>
      </c>
      <c r="L269" s="4">
        <v>1</v>
      </c>
      <c r="M269" s="5">
        <v>30</v>
      </c>
      <c r="N269">
        <f>L269*M269</f>
        <v>30</v>
      </c>
      <c r="O269" s="15">
        <f>N269*$R$3</f>
        <v>0.44999999999999996</v>
      </c>
    </row>
    <row r="270" spans="1:15">
      <c r="A270" s="2">
        <v>269</v>
      </c>
      <c r="B270" s="4">
        <f>YEAR(F270)</f>
        <v>2023</v>
      </c>
      <c r="C270" s="4">
        <f>MONTH(F270)</f>
        <v>2</v>
      </c>
      <c r="D270" s="4">
        <f>DAY(F270)</f>
        <v>1</v>
      </c>
      <c r="E270" s="4" t="str">
        <f t="shared" si="4"/>
        <v>Wednesday</v>
      </c>
      <c r="F270" s="3">
        <v>44958</v>
      </c>
      <c r="G270" s="4" t="s">
        <v>301</v>
      </c>
      <c r="H270" s="4" t="s">
        <v>8</v>
      </c>
      <c r="I270" s="4">
        <v>25</v>
      </c>
      <c r="J270" s="4" t="str" cm="1">
        <f t="array" ref="J270">_xlfn.IFS(I270&lt;30,"Young Adult", I270&lt;50,"Adult",I270 &gt;=50,"Seniors")</f>
        <v>Young Adult</v>
      </c>
      <c r="K270" s="4" t="s">
        <v>3</v>
      </c>
      <c r="L270" s="4">
        <v>4</v>
      </c>
      <c r="M270" s="5">
        <v>500</v>
      </c>
      <c r="N270">
        <f>L270*M270</f>
        <v>2000</v>
      </c>
      <c r="O270" s="15">
        <f>N270*$R$3</f>
        <v>30</v>
      </c>
    </row>
    <row r="271" spans="1:15">
      <c r="A271" s="2">
        <v>270</v>
      </c>
      <c r="B271" s="4">
        <f>YEAR(F271)</f>
        <v>2023</v>
      </c>
      <c r="C271" s="4">
        <f>MONTH(F271)</f>
        <v>7</v>
      </c>
      <c r="D271" s="4">
        <f>DAY(F271)</f>
        <v>26</v>
      </c>
      <c r="E271" s="4" t="str">
        <f t="shared" si="4"/>
        <v>Wednesday</v>
      </c>
      <c r="F271" s="3">
        <v>45133</v>
      </c>
      <c r="G271" s="4" t="s">
        <v>302</v>
      </c>
      <c r="H271" s="4" t="s">
        <v>8</v>
      </c>
      <c r="I271" s="4">
        <v>43</v>
      </c>
      <c r="J271" s="4" t="str" cm="1">
        <f t="array" ref="J271">_xlfn.IFS(I271&lt;30,"Young Adult", I271&lt;50,"Adult",I271 &gt;=50,"Seniors")</f>
        <v>Adult</v>
      </c>
      <c r="K271" s="4" t="s">
        <v>4</v>
      </c>
      <c r="L271" s="4">
        <v>1</v>
      </c>
      <c r="M271" s="5">
        <v>300</v>
      </c>
      <c r="N271">
        <f>L271*M271</f>
        <v>300</v>
      </c>
      <c r="O271" s="15">
        <f>N271*$R$3</f>
        <v>4.5</v>
      </c>
    </row>
    <row r="272" spans="1:15">
      <c r="A272" s="2">
        <v>271</v>
      </c>
      <c r="B272" s="4">
        <f>YEAR(F272)</f>
        <v>2023</v>
      </c>
      <c r="C272" s="4">
        <f>MONTH(F272)</f>
        <v>6</v>
      </c>
      <c r="D272" s="4">
        <f>DAY(F272)</f>
        <v>23</v>
      </c>
      <c r="E272" s="4" t="str">
        <f t="shared" si="4"/>
        <v>Friday</v>
      </c>
      <c r="F272" s="3">
        <v>45100</v>
      </c>
      <c r="G272" s="4" t="s">
        <v>303</v>
      </c>
      <c r="H272" s="4" t="s">
        <v>7</v>
      </c>
      <c r="I272" s="4">
        <v>62</v>
      </c>
      <c r="J272" s="4" t="str" cm="1">
        <f t="array" ref="J272">_xlfn.IFS(I272&lt;30,"Young Adult", I272&lt;50,"Adult",I272 &gt;=50,"Seniors")</f>
        <v>Seniors</v>
      </c>
      <c r="K272" s="4" t="s">
        <v>2</v>
      </c>
      <c r="L272" s="4">
        <v>4</v>
      </c>
      <c r="M272" s="5">
        <v>30</v>
      </c>
      <c r="N272">
        <f>L272*M272</f>
        <v>120</v>
      </c>
      <c r="O272" s="15">
        <f>N272*$R$3</f>
        <v>1.7999999999999998</v>
      </c>
    </row>
    <row r="273" spans="1:15">
      <c r="A273" s="2">
        <v>272</v>
      </c>
      <c r="B273" s="4">
        <f>YEAR(F273)</f>
        <v>2023</v>
      </c>
      <c r="C273" s="4">
        <f>MONTH(F273)</f>
        <v>2</v>
      </c>
      <c r="D273" s="4">
        <f>DAY(F273)</f>
        <v>25</v>
      </c>
      <c r="E273" s="4" t="str">
        <f t="shared" si="4"/>
        <v>Saturday</v>
      </c>
      <c r="F273" s="3">
        <v>44982</v>
      </c>
      <c r="G273" s="4" t="s">
        <v>304</v>
      </c>
      <c r="H273" s="4" t="s">
        <v>7</v>
      </c>
      <c r="I273" s="4">
        <v>61</v>
      </c>
      <c r="J273" s="4" t="str" cm="1">
        <f t="array" ref="J273">_xlfn.IFS(I273&lt;30,"Young Adult", I273&lt;50,"Adult",I273 &gt;=50,"Seniors")</f>
        <v>Seniors</v>
      </c>
      <c r="K273" s="4" t="s">
        <v>4</v>
      </c>
      <c r="L273" s="4">
        <v>2</v>
      </c>
      <c r="M273" s="5">
        <v>50</v>
      </c>
      <c r="N273">
        <f>L273*M273</f>
        <v>100</v>
      </c>
      <c r="O273" s="15">
        <f>N273*$R$3</f>
        <v>1.5</v>
      </c>
    </row>
    <row r="274" spans="1:15">
      <c r="A274" s="2">
        <v>273</v>
      </c>
      <c r="B274" s="4">
        <f>YEAR(F274)</f>
        <v>2023</v>
      </c>
      <c r="C274" s="4">
        <f>MONTH(F274)</f>
        <v>5</v>
      </c>
      <c r="D274" s="4">
        <f>DAY(F274)</f>
        <v>8</v>
      </c>
      <c r="E274" s="4" t="str">
        <f t="shared" si="4"/>
        <v>Monday</v>
      </c>
      <c r="F274" s="3">
        <v>45054</v>
      </c>
      <c r="G274" s="4" t="s">
        <v>305</v>
      </c>
      <c r="H274" s="4" t="s">
        <v>7</v>
      </c>
      <c r="I274" s="4">
        <v>22</v>
      </c>
      <c r="J274" s="4" t="str" cm="1">
        <f t="array" ref="J274">_xlfn.IFS(I274&lt;30,"Young Adult", I274&lt;50,"Adult",I274 &gt;=50,"Seniors")</f>
        <v>Young Adult</v>
      </c>
      <c r="K274" s="4" t="s">
        <v>2</v>
      </c>
      <c r="L274" s="4">
        <v>1</v>
      </c>
      <c r="M274" s="5">
        <v>50</v>
      </c>
      <c r="N274">
        <f>L274*M274</f>
        <v>50</v>
      </c>
      <c r="O274" s="15">
        <f>N274*$R$3</f>
        <v>0.75</v>
      </c>
    </row>
    <row r="275" spans="1:15">
      <c r="A275" s="2">
        <v>274</v>
      </c>
      <c r="B275" s="4">
        <f>YEAR(F275)</f>
        <v>2023</v>
      </c>
      <c r="C275" s="4">
        <f>MONTH(F275)</f>
        <v>4</v>
      </c>
      <c r="D275" s="4">
        <f>DAY(F275)</f>
        <v>9</v>
      </c>
      <c r="E275" s="4" t="str">
        <f t="shared" si="4"/>
        <v>Sunday</v>
      </c>
      <c r="F275" s="3">
        <v>45025</v>
      </c>
      <c r="G275" s="4" t="s">
        <v>306</v>
      </c>
      <c r="H275" s="4" t="s">
        <v>7</v>
      </c>
      <c r="I275" s="4">
        <v>23</v>
      </c>
      <c r="J275" s="4" t="str" cm="1">
        <f t="array" ref="J275">_xlfn.IFS(I275&lt;30,"Young Adult", I275&lt;50,"Adult",I275 &gt;=50,"Seniors")</f>
        <v>Young Adult</v>
      </c>
      <c r="K275" s="4" t="s">
        <v>3</v>
      </c>
      <c r="L275" s="4">
        <v>2</v>
      </c>
      <c r="M275" s="5">
        <v>500</v>
      </c>
      <c r="N275">
        <f>L275*M275</f>
        <v>1000</v>
      </c>
      <c r="O275" s="15">
        <f>N275*$R$3</f>
        <v>15</v>
      </c>
    </row>
    <row r="276" spans="1:15">
      <c r="A276" s="2">
        <v>275</v>
      </c>
      <c r="B276" s="4">
        <f>YEAR(F276)</f>
        <v>2023</v>
      </c>
      <c r="C276" s="4">
        <f>MONTH(F276)</f>
        <v>4</v>
      </c>
      <c r="D276" s="4">
        <f>DAY(F276)</f>
        <v>8</v>
      </c>
      <c r="E276" s="4" t="str">
        <f t="shared" si="4"/>
        <v>Saturday</v>
      </c>
      <c r="F276" s="3">
        <v>45024</v>
      </c>
      <c r="G276" s="4" t="s">
        <v>307</v>
      </c>
      <c r="H276" s="4" t="s">
        <v>8</v>
      </c>
      <c r="I276" s="4">
        <v>43</v>
      </c>
      <c r="J276" s="4" t="str" cm="1">
        <f t="array" ref="J276">_xlfn.IFS(I276&lt;30,"Young Adult", I276&lt;50,"Adult",I276 &gt;=50,"Seniors")</f>
        <v>Adult</v>
      </c>
      <c r="K276" s="4" t="s">
        <v>3</v>
      </c>
      <c r="L276" s="4">
        <v>2</v>
      </c>
      <c r="M276" s="5">
        <v>500</v>
      </c>
      <c r="N276">
        <f>L276*M276</f>
        <v>1000</v>
      </c>
      <c r="O276" s="15">
        <f>N276*$R$3</f>
        <v>15</v>
      </c>
    </row>
    <row r="277" spans="1:15">
      <c r="A277" s="2">
        <v>276</v>
      </c>
      <c r="B277" s="4">
        <f>YEAR(F277)</f>
        <v>2023</v>
      </c>
      <c r="C277" s="4">
        <f>MONTH(F277)</f>
        <v>10</v>
      </c>
      <c r="D277" s="4">
        <f>DAY(F277)</f>
        <v>2</v>
      </c>
      <c r="E277" s="4" t="str">
        <f t="shared" si="4"/>
        <v>Monday</v>
      </c>
      <c r="F277" s="3">
        <v>45201</v>
      </c>
      <c r="G277" s="4" t="s">
        <v>308</v>
      </c>
      <c r="H277" s="4" t="s">
        <v>7</v>
      </c>
      <c r="I277" s="4">
        <v>21</v>
      </c>
      <c r="J277" s="4" t="str" cm="1">
        <f t="array" ref="J277">_xlfn.IFS(I277&lt;30,"Young Adult", I277&lt;50,"Adult",I277 &gt;=50,"Seniors")</f>
        <v>Young Adult</v>
      </c>
      <c r="K277" s="4" t="s">
        <v>2</v>
      </c>
      <c r="L277" s="4">
        <v>4</v>
      </c>
      <c r="M277" s="5">
        <v>25</v>
      </c>
      <c r="N277">
        <f>L277*M277</f>
        <v>100</v>
      </c>
      <c r="O277" s="15">
        <f>N277*$R$3</f>
        <v>1.5</v>
      </c>
    </row>
    <row r="278" spans="1:15">
      <c r="A278" s="2">
        <v>277</v>
      </c>
      <c r="B278" s="4">
        <f>YEAR(F278)</f>
        <v>2023</v>
      </c>
      <c r="C278" s="4">
        <f>MONTH(F278)</f>
        <v>8</v>
      </c>
      <c r="D278" s="4">
        <f>DAY(F278)</f>
        <v>18</v>
      </c>
      <c r="E278" s="4" t="str">
        <f t="shared" si="4"/>
        <v>Friday</v>
      </c>
      <c r="F278" s="3">
        <v>45156</v>
      </c>
      <c r="G278" s="4" t="s">
        <v>309</v>
      </c>
      <c r="H278" s="4" t="s">
        <v>8</v>
      </c>
      <c r="I278" s="4">
        <v>36</v>
      </c>
      <c r="J278" s="4" t="str" cm="1">
        <f t="array" ref="J278">_xlfn.IFS(I278&lt;30,"Young Adult", I278&lt;50,"Adult",I278 &gt;=50,"Seniors")</f>
        <v>Adult</v>
      </c>
      <c r="K278" s="4" t="s">
        <v>3</v>
      </c>
      <c r="L278" s="4">
        <v>4</v>
      </c>
      <c r="M278" s="5">
        <v>25</v>
      </c>
      <c r="N278">
        <f>L278*M278</f>
        <v>100</v>
      </c>
      <c r="O278" s="15">
        <f>N278*$R$3</f>
        <v>1.5</v>
      </c>
    </row>
    <row r="279" spans="1:15">
      <c r="A279" s="2">
        <v>278</v>
      </c>
      <c r="B279" s="4">
        <f>YEAR(F279)</f>
        <v>2023</v>
      </c>
      <c r="C279" s="4">
        <f>MONTH(F279)</f>
        <v>3</v>
      </c>
      <c r="D279" s="4">
        <f>DAY(F279)</f>
        <v>13</v>
      </c>
      <c r="E279" s="4" t="str">
        <f t="shared" si="4"/>
        <v>Monday</v>
      </c>
      <c r="F279" s="3">
        <v>44998</v>
      </c>
      <c r="G279" s="4" t="s">
        <v>310</v>
      </c>
      <c r="H279" s="4" t="s">
        <v>7</v>
      </c>
      <c r="I279" s="4">
        <v>37</v>
      </c>
      <c r="J279" s="4" t="str" cm="1">
        <f t="array" ref="J279">_xlfn.IFS(I279&lt;30,"Young Adult", I279&lt;50,"Adult",I279 &gt;=50,"Seniors")</f>
        <v>Adult</v>
      </c>
      <c r="K279" s="4" t="s">
        <v>3</v>
      </c>
      <c r="L279" s="4">
        <v>4</v>
      </c>
      <c r="M279" s="5">
        <v>25</v>
      </c>
      <c r="N279">
        <f>L279*M279</f>
        <v>100</v>
      </c>
      <c r="O279" s="15">
        <f>N279*$R$3</f>
        <v>1.5</v>
      </c>
    </row>
    <row r="280" spans="1:15">
      <c r="A280" s="2">
        <v>279</v>
      </c>
      <c r="B280" s="4">
        <f>YEAR(F280)</f>
        <v>2023</v>
      </c>
      <c r="C280" s="4">
        <f>MONTH(F280)</f>
        <v>8</v>
      </c>
      <c r="D280" s="4">
        <f>DAY(F280)</f>
        <v>5</v>
      </c>
      <c r="E280" s="4" t="str">
        <f t="shared" si="4"/>
        <v>Saturday</v>
      </c>
      <c r="F280" s="3">
        <v>45143</v>
      </c>
      <c r="G280" s="4" t="s">
        <v>311</v>
      </c>
      <c r="H280" s="4" t="s">
        <v>8</v>
      </c>
      <c r="I280" s="4">
        <v>50</v>
      </c>
      <c r="J280" s="4" t="str" cm="1">
        <f t="array" ref="J280">_xlfn.IFS(I280&lt;30,"Young Adult", I280&lt;50,"Adult",I280 &gt;=50,"Seniors")</f>
        <v>Seniors</v>
      </c>
      <c r="K280" s="4" t="s">
        <v>3</v>
      </c>
      <c r="L280" s="4">
        <v>1</v>
      </c>
      <c r="M280" s="5">
        <v>500</v>
      </c>
      <c r="N280">
        <f>L280*M280</f>
        <v>500</v>
      </c>
      <c r="O280" s="15">
        <f>N280*$R$3</f>
        <v>7.5</v>
      </c>
    </row>
    <row r="281" spans="1:15">
      <c r="A281" s="2">
        <v>280</v>
      </c>
      <c r="B281" s="4">
        <f>YEAR(F281)</f>
        <v>2023</v>
      </c>
      <c r="C281" s="4">
        <f>MONTH(F281)</f>
        <v>4</v>
      </c>
      <c r="D281" s="4">
        <f>DAY(F281)</f>
        <v>4</v>
      </c>
      <c r="E281" s="4" t="str">
        <f t="shared" si="4"/>
        <v>Tuesday</v>
      </c>
      <c r="F281" s="3">
        <v>45020</v>
      </c>
      <c r="G281" s="4" t="s">
        <v>312</v>
      </c>
      <c r="H281" s="4" t="s">
        <v>7</v>
      </c>
      <c r="I281" s="4">
        <v>37</v>
      </c>
      <c r="J281" s="4" t="str" cm="1">
        <f t="array" ref="J281">_xlfn.IFS(I281&lt;30,"Young Adult", I281&lt;50,"Adult",I281 &gt;=50,"Seniors")</f>
        <v>Adult</v>
      </c>
      <c r="K281" s="4" t="s">
        <v>3</v>
      </c>
      <c r="L281" s="4">
        <v>3</v>
      </c>
      <c r="M281" s="5">
        <v>500</v>
      </c>
      <c r="N281">
        <f>L281*M281</f>
        <v>1500</v>
      </c>
      <c r="O281" s="15">
        <f>N281*$R$3</f>
        <v>22.5</v>
      </c>
    </row>
    <row r="282" spans="1:15">
      <c r="A282" s="2">
        <v>281</v>
      </c>
      <c r="B282" s="4">
        <f>YEAR(F282)</f>
        <v>2023</v>
      </c>
      <c r="C282" s="4">
        <f>MONTH(F282)</f>
        <v>5</v>
      </c>
      <c r="D282" s="4">
        <f>DAY(F282)</f>
        <v>23</v>
      </c>
      <c r="E282" s="4" t="str">
        <f t="shared" si="4"/>
        <v>Tuesday</v>
      </c>
      <c r="F282" s="3">
        <v>45069</v>
      </c>
      <c r="G282" s="4" t="s">
        <v>313</v>
      </c>
      <c r="H282" s="4" t="s">
        <v>7</v>
      </c>
      <c r="I282" s="4">
        <v>29</v>
      </c>
      <c r="J282" s="4" t="str" cm="1">
        <f t="array" ref="J282">_xlfn.IFS(I282&lt;30,"Young Adult", I282&lt;50,"Adult",I282 &gt;=50,"Seniors")</f>
        <v>Young Adult</v>
      </c>
      <c r="K282" s="4" t="s">
        <v>2</v>
      </c>
      <c r="L282" s="4">
        <v>4</v>
      </c>
      <c r="M282" s="5">
        <v>500</v>
      </c>
      <c r="N282">
        <f>L282*M282</f>
        <v>2000</v>
      </c>
      <c r="O282" s="15">
        <f>N282*$R$3</f>
        <v>30</v>
      </c>
    </row>
    <row r="283" spans="1:15">
      <c r="A283" s="2">
        <v>282</v>
      </c>
      <c r="B283" s="4">
        <f>YEAR(F283)</f>
        <v>2023</v>
      </c>
      <c r="C283" s="4">
        <f>MONTH(F283)</f>
        <v>8</v>
      </c>
      <c r="D283" s="4">
        <f>DAY(F283)</f>
        <v>25</v>
      </c>
      <c r="E283" s="4" t="str">
        <f t="shared" si="4"/>
        <v>Friday</v>
      </c>
      <c r="F283" s="3">
        <v>45163</v>
      </c>
      <c r="G283" s="4" t="s">
        <v>314</v>
      </c>
      <c r="H283" s="4" t="s">
        <v>7</v>
      </c>
      <c r="I283" s="4">
        <v>64</v>
      </c>
      <c r="J283" s="4" t="str" cm="1">
        <f t="array" ref="J283">_xlfn.IFS(I283&lt;30,"Young Adult", I283&lt;50,"Adult",I283 &gt;=50,"Seniors")</f>
        <v>Seniors</v>
      </c>
      <c r="K283" s="4" t="s">
        <v>4</v>
      </c>
      <c r="L283" s="4">
        <v>4</v>
      </c>
      <c r="M283" s="5">
        <v>50</v>
      </c>
      <c r="N283">
        <f>L283*M283</f>
        <v>200</v>
      </c>
      <c r="O283" s="15">
        <f>N283*$R$3</f>
        <v>3</v>
      </c>
    </row>
    <row r="284" spans="1:15">
      <c r="A284" s="2">
        <v>283</v>
      </c>
      <c r="B284" s="4">
        <f>YEAR(F284)</f>
        <v>2023</v>
      </c>
      <c r="C284" s="4">
        <f>MONTH(F284)</f>
        <v>5</v>
      </c>
      <c r="D284" s="4">
        <f>DAY(F284)</f>
        <v>8</v>
      </c>
      <c r="E284" s="4" t="str">
        <f t="shared" si="4"/>
        <v>Monday</v>
      </c>
      <c r="F284" s="3">
        <v>45054</v>
      </c>
      <c r="G284" s="4" t="s">
        <v>315</v>
      </c>
      <c r="H284" s="4" t="s">
        <v>7</v>
      </c>
      <c r="I284" s="4">
        <v>18</v>
      </c>
      <c r="J284" s="4" t="str" cm="1">
        <f t="array" ref="J284">_xlfn.IFS(I284&lt;30,"Young Adult", I284&lt;50,"Adult",I284 &gt;=50,"Seniors")</f>
        <v>Young Adult</v>
      </c>
      <c r="K284" s="4" t="s">
        <v>4</v>
      </c>
      <c r="L284" s="4">
        <v>1</v>
      </c>
      <c r="M284" s="5">
        <v>500</v>
      </c>
      <c r="N284">
        <f>L284*M284</f>
        <v>500</v>
      </c>
      <c r="O284" s="15">
        <f>N284*$R$3</f>
        <v>7.5</v>
      </c>
    </row>
    <row r="285" spans="1:15">
      <c r="A285" s="2">
        <v>284</v>
      </c>
      <c r="B285" s="4">
        <f>YEAR(F285)</f>
        <v>2023</v>
      </c>
      <c r="C285" s="4">
        <f>MONTH(F285)</f>
        <v>2</v>
      </c>
      <c r="D285" s="4">
        <f>DAY(F285)</f>
        <v>8</v>
      </c>
      <c r="E285" s="4" t="str">
        <f t="shared" si="4"/>
        <v>Wednesday</v>
      </c>
      <c r="F285" s="3">
        <v>44965</v>
      </c>
      <c r="G285" s="4" t="s">
        <v>316</v>
      </c>
      <c r="H285" s="4" t="s">
        <v>8</v>
      </c>
      <c r="I285" s="4">
        <v>43</v>
      </c>
      <c r="J285" s="4" t="str" cm="1">
        <f t="array" ref="J285">_xlfn.IFS(I285&lt;30,"Young Adult", I285&lt;50,"Adult",I285 &gt;=50,"Seniors")</f>
        <v>Adult</v>
      </c>
      <c r="K285" s="4" t="s">
        <v>3</v>
      </c>
      <c r="L285" s="4">
        <v>4</v>
      </c>
      <c r="M285" s="5">
        <v>50</v>
      </c>
      <c r="N285">
        <f>L285*M285</f>
        <v>200</v>
      </c>
      <c r="O285" s="15">
        <f>N285*$R$3</f>
        <v>3</v>
      </c>
    </row>
    <row r="286" spans="1:15">
      <c r="A286" s="2">
        <v>285</v>
      </c>
      <c r="B286" s="4">
        <f>YEAR(F286)</f>
        <v>2023</v>
      </c>
      <c r="C286" s="4">
        <f>MONTH(F286)</f>
        <v>8</v>
      </c>
      <c r="D286" s="4">
        <f>DAY(F286)</f>
        <v>15</v>
      </c>
      <c r="E286" s="4" t="str">
        <f t="shared" si="4"/>
        <v>Tuesday</v>
      </c>
      <c r="F286" s="3">
        <v>45153</v>
      </c>
      <c r="G286" s="4" t="s">
        <v>317</v>
      </c>
      <c r="H286" s="4" t="s">
        <v>7</v>
      </c>
      <c r="I286" s="4">
        <v>31</v>
      </c>
      <c r="J286" s="4" t="str" cm="1">
        <f t="array" ref="J286">_xlfn.IFS(I286&lt;30,"Young Adult", I286&lt;50,"Adult",I286 &gt;=50,"Seniors")</f>
        <v>Adult</v>
      </c>
      <c r="K286" s="4" t="s">
        <v>4</v>
      </c>
      <c r="L286" s="4">
        <v>1</v>
      </c>
      <c r="M286" s="5">
        <v>25</v>
      </c>
      <c r="N286">
        <f>L286*M286</f>
        <v>25</v>
      </c>
      <c r="O286" s="15">
        <f>N286*$R$3</f>
        <v>0.375</v>
      </c>
    </row>
    <row r="287" spans="1:15">
      <c r="A287" s="2">
        <v>286</v>
      </c>
      <c r="B287" s="4">
        <f>YEAR(F287)</f>
        <v>2023</v>
      </c>
      <c r="C287" s="4">
        <f>MONTH(F287)</f>
        <v>10</v>
      </c>
      <c r="D287" s="4">
        <f>DAY(F287)</f>
        <v>9</v>
      </c>
      <c r="E287" s="4" t="str">
        <f t="shared" si="4"/>
        <v>Monday</v>
      </c>
      <c r="F287" s="3">
        <v>45208</v>
      </c>
      <c r="G287" s="4" t="s">
        <v>318</v>
      </c>
      <c r="H287" s="4" t="s">
        <v>8</v>
      </c>
      <c r="I287" s="4">
        <v>55</v>
      </c>
      <c r="J287" s="4" t="str" cm="1">
        <f t="array" ref="J287">_xlfn.IFS(I287&lt;30,"Young Adult", I287&lt;50,"Adult",I287 &gt;=50,"Seniors")</f>
        <v>Seniors</v>
      </c>
      <c r="K287" s="4" t="s">
        <v>4</v>
      </c>
      <c r="L287" s="4">
        <v>2</v>
      </c>
      <c r="M287" s="5">
        <v>25</v>
      </c>
      <c r="N287">
        <f>L287*M287</f>
        <v>50</v>
      </c>
      <c r="O287" s="15">
        <f>N287*$R$3</f>
        <v>0.75</v>
      </c>
    </row>
    <row r="288" spans="1:15">
      <c r="A288" s="2">
        <v>287</v>
      </c>
      <c r="B288" s="4">
        <f>YEAR(F288)</f>
        <v>2023</v>
      </c>
      <c r="C288" s="4">
        <f>MONTH(F288)</f>
        <v>2</v>
      </c>
      <c r="D288" s="4">
        <f>DAY(F288)</f>
        <v>20</v>
      </c>
      <c r="E288" s="4" t="str">
        <f t="shared" si="4"/>
        <v>Monday</v>
      </c>
      <c r="F288" s="3">
        <v>44977</v>
      </c>
      <c r="G288" s="4" t="s">
        <v>319</v>
      </c>
      <c r="H288" s="4" t="s">
        <v>8</v>
      </c>
      <c r="I288" s="4">
        <v>54</v>
      </c>
      <c r="J288" s="4" t="str" cm="1">
        <f t="array" ref="J288">_xlfn.IFS(I288&lt;30,"Young Adult", I288&lt;50,"Adult",I288 &gt;=50,"Seniors")</f>
        <v>Seniors</v>
      </c>
      <c r="K288" s="4" t="s">
        <v>3</v>
      </c>
      <c r="L288" s="4">
        <v>4</v>
      </c>
      <c r="M288" s="5">
        <v>25</v>
      </c>
      <c r="N288">
        <f>L288*M288</f>
        <v>100</v>
      </c>
      <c r="O288" s="15">
        <f>N288*$R$3</f>
        <v>1.5</v>
      </c>
    </row>
    <row r="289" spans="1:15">
      <c r="A289" s="2">
        <v>288</v>
      </c>
      <c r="B289" s="4">
        <f>YEAR(F289)</f>
        <v>2023</v>
      </c>
      <c r="C289" s="4">
        <f>MONTH(F289)</f>
        <v>1</v>
      </c>
      <c r="D289" s="4">
        <f>DAY(F289)</f>
        <v>26</v>
      </c>
      <c r="E289" s="4" t="str">
        <f t="shared" si="4"/>
        <v>Thursday</v>
      </c>
      <c r="F289" s="3">
        <v>44952</v>
      </c>
      <c r="G289" s="4" t="s">
        <v>320</v>
      </c>
      <c r="H289" s="4" t="s">
        <v>8</v>
      </c>
      <c r="I289" s="4">
        <v>28</v>
      </c>
      <c r="J289" s="4" t="str" cm="1">
        <f t="array" ref="J289">_xlfn.IFS(I289&lt;30,"Young Adult", I289&lt;50,"Adult",I289 &gt;=50,"Seniors")</f>
        <v>Young Adult</v>
      </c>
      <c r="K289" s="4" t="s">
        <v>3</v>
      </c>
      <c r="L289" s="4">
        <v>4</v>
      </c>
      <c r="M289" s="5">
        <v>30</v>
      </c>
      <c r="N289">
        <f>L289*M289</f>
        <v>120</v>
      </c>
      <c r="O289" s="15">
        <f>N289*$R$3</f>
        <v>1.7999999999999998</v>
      </c>
    </row>
    <row r="290" spans="1:15">
      <c r="A290" s="2">
        <v>289</v>
      </c>
      <c r="B290" s="4">
        <f>YEAR(F290)</f>
        <v>2023</v>
      </c>
      <c r="C290" s="4">
        <f>MONTH(F290)</f>
        <v>11</v>
      </c>
      <c r="D290" s="4">
        <f>DAY(F290)</f>
        <v>30</v>
      </c>
      <c r="E290" s="4" t="str">
        <f t="shared" si="4"/>
        <v>Thursday</v>
      </c>
      <c r="F290" s="3">
        <v>45260</v>
      </c>
      <c r="G290" s="4" t="s">
        <v>321</v>
      </c>
      <c r="H290" s="4" t="s">
        <v>8</v>
      </c>
      <c r="I290" s="4">
        <v>53</v>
      </c>
      <c r="J290" s="4" t="str" cm="1">
        <f t="array" ref="J290">_xlfn.IFS(I290&lt;30,"Young Adult", I290&lt;50,"Adult",I290 &gt;=50,"Seniors")</f>
        <v>Seniors</v>
      </c>
      <c r="K290" s="4" t="s">
        <v>4</v>
      </c>
      <c r="L290" s="4">
        <v>2</v>
      </c>
      <c r="M290" s="5">
        <v>30</v>
      </c>
      <c r="N290">
        <f>L290*M290</f>
        <v>60</v>
      </c>
      <c r="O290" s="15">
        <f>N290*$R$3</f>
        <v>0.89999999999999991</v>
      </c>
    </row>
    <row r="291" spans="1:15">
      <c r="A291" s="2">
        <v>290</v>
      </c>
      <c r="B291" s="4">
        <f>YEAR(F291)</f>
        <v>2023</v>
      </c>
      <c r="C291" s="4">
        <f>MONTH(F291)</f>
        <v>10</v>
      </c>
      <c r="D291" s="4">
        <f>DAY(F291)</f>
        <v>4</v>
      </c>
      <c r="E291" s="4" t="str">
        <f t="shared" si="4"/>
        <v>Wednesday</v>
      </c>
      <c r="F291" s="3">
        <v>45203</v>
      </c>
      <c r="G291" s="4" t="s">
        <v>322</v>
      </c>
      <c r="H291" s="4" t="s">
        <v>7</v>
      </c>
      <c r="I291" s="4">
        <v>30</v>
      </c>
      <c r="J291" s="4" t="str" cm="1">
        <f t="array" ref="J291">_xlfn.IFS(I291&lt;30,"Young Adult", I291&lt;50,"Adult",I291 &gt;=50,"Seniors")</f>
        <v>Adult</v>
      </c>
      <c r="K291" s="4" t="s">
        <v>2</v>
      </c>
      <c r="L291" s="4">
        <v>2</v>
      </c>
      <c r="M291" s="5">
        <v>300</v>
      </c>
      <c r="N291">
        <f>L291*M291</f>
        <v>600</v>
      </c>
      <c r="O291" s="15">
        <f>N291*$R$3</f>
        <v>9</v>
      </c>
    </row>
    <row r="292" spans="1:15">
      <c r="A292" s="2">
        <v>291</v>
      </c>
      <c r="B292" s="4">
        <f>YEAR(F292)</f>
        <v>2023</v>
      </c>
      <c r="C292" s="4">
        <f>MONTH(F292)</f>
        <v>1</v>
      </c>
      <c r="D292" s="4">
        <f>DAY(F292)</f>
        <v>8</v>
      </c>
      <c r="E292" s="4" t="str">
        <f t="shared" si="4"/>
        <v>Sunday</v>
      </c>
      <c r="F292" s="3">
        <v>44934</v>
      </c>
      <c r="G292" s="4" t="s">
        <v>323</v>
      </c>
      <c r="H292" s="4" t="s">
        <v>8</v>
      </c>
      <c r="I292" s="4">
        <v>60</v>
      </c>
      <c r="J292" s="4" t="str" cm="1">
        <f t="array" ref="J292">_xlfn.IFS(I292&lt;30,"Young Adult", I292&lt;50,"Adult",I292 &gt;=50,"Seniors")</f>
        <v>Seniors</v>
      </c>
      <c r="K292" s="4" t="s">
        <v>3</v>
      </c>
      <c r="L292" s="4">
        <v>2</v>
      </c>
      <c r="M292" s="5">
        <v>300</v>
      </c>
      <c r="N292">
        <f>L292*M292</f>
        <v>600</v>
      </c>
      <c r="O292" s="15">
        <f>N292*$R$3</f>
        <v>9</v>
      </c>
    </row>
    <row r="293" spans="1:15">
      <c r="A293" s="2">
        <v>292</v>
      </c>
      <c r="B293" s="4">
        <f>YEAR(F293)</f>
        <v>2023</v>
      </c>
      <c r="C293" s="4">
        <f>MONTH(F293)</f>
        <v>2</v>
      </c>
      <c r="D293" s="4">
        <f>DAY(F293)</f>
        <v>17</v>
      </c>
      <c r="E293" s="4" t="str">
        <f t="shared" si="4"/>
        <v>Friday</v>
      </c>
      <c r="F293" s="3">
        <v>44974</v>
      </c>
      <c r="G293" s="4" t="s">
        <v>324</v>
      </c>
      <c r="H293" s="4" t="s">
        <v>8</v>
      </c>
      <c r="I293" s="4">
        <v>20</v>
      </c>
      <c r="J293" s="4" t="str" cm="1">
        <f t="array" ref="J293">_xlfn.IFS(I293&lt;30,"Young Adult", I293&lt;50,"Adult",I293 &gt;=50,"Seniors")</f>
        <v>Young Adult</v>
      </c>
      <c r="K293" s="4" t="s">
        <v>2</v>
      </c>
      <c r="L293" s="4">
        <v>4</v>
      </c>
      <c r="M293" s="5">
        <v>300</v>
      </c>
      <c r="N293">
        <f>L293*M293</f>
        <v>1200</v>
      </c>
      <c r="O293" s="15">
        <f>N293*$R$3</f>
        <v>18</v>
      </c>
    </row>
    <row r="294" spans="1:15">
      <c r="A294" s="2">
        <v>293</v>
      </c>
      <c r="B294" s="4">
        <f>YEAR(F294)</f>
        <v>2023</v>
      </c>
      <c r="C294" s="4">
        <f>MONTH(F294)</f>
        <v>5</v>
      </c>
      <c r="D294" s="4">
        <f>DAY(F294)</f>
        <v>2</v>
      </c>
      <c r="E294" s="4" t="str">
        <f t="shared" si="4"/>
        <v>Tuesday</v>
      </c>
      <c r="F294" s="3">
        <v>45048</v>
      </c>
      <c r="G294" s="4" t="s">
        <v>325</v>
      </c>
      <c r="H294" s="4" t="s">
        <v>8</v>
      </c>
      <c r="I294" s="4">
        <v>50</v>
      </c>
      <c r="J294" s="4" t="str" cm="1">
        <f t="array" ref="J294">_xlfn.IFS(I294&lt;30,"Young Adult", I294&lt;50,"Adult",I294 &gt;=50,"Seniors")</f>
        <v>Seniors</v>
      </c>
      <c r="K294" s="4" t="s">
        <v>4</v>
      </c>
      <c r="L294" s="4">
        <v>3</v>
      </c>
      <c r="M294" s="5">
        <v>30</v>
      </c>
      <c r="N294">
        <f>L294*M294</f>
        <v>90</v>
      </c>
      <c r="O294" s="15">
        <f>N294*$R$3</f>
        <v>1.3499999999999999</v>
      </c>
    </row>
    <row r="295" spans="1:15">
      <c r="A295" s="2">
        <v>294</v>
      </c>
      <c r="B295" s="4">
        <f>YEAR(F295)</f>
        <v>2023</v>
      </c>
      <c r="C295" s="4">
        <f>MONTH(F295)</f>
        <v>3</v>
      </c>
      <c r="D295" s="4">
        <f>DAY(F295)</f>
        <v>27</v>
      </c>
      <c r="E295" s="4" t="str">
        <f t="shared" si="4"/>
        <v>Monday</v>
      </c>
      <c r="F295" s="3">
        <v>45012</v>
      </c>
      <c r="G295" s="4" t="s">
        <v>326</v>
      </c>
      <c r="H295" s="4" t="s">
        <v>7</v>
      </c>
      <c r="I295" s="4">
        <v>23</v>
      </c>
      <c r="J295" s="4" t="str" cm="1">
        <f t="array" ref="J295">_xlfn.IFS(I295&lt;30,"Young Adult", I295&lt;50,"Adult",I295 &gt;=50,"Seniors")</f>
        <v>Young Adult</v>
      </c>
      <c r="K295" s="4" t="s">
        <v>3</v>
      </c>
      <c r="L295" s="4">
        <v>3</v>
      </c>
      <c r="M295" s="5">
        <v>30</v>
      </c>
      <c r="N295">
        <f>L295*M295</f>
        <v>90</v>
      </c>
      <c r="O295" s="15">
        <f>N295*$R$3</f>
        <v>1.3499999999999999</v>
      </c>
    </row>
    <row r="296" spans="1:15">
      <c r="A296" s="2">
        <v>295</v>
      </c>
      <c r="B296" s="4">
        <f>YEAR(F296)</f>
        <v>2023</v>
      </c>
      <c r="C296" s="4">
        <f>MONTH(F296)</f>
        <v>7</v>
      </c>
      <c r="D296" s="4">
        <f>DAY(F296)</f>
        <v>28</v>
      </c>
      <c r="E296" s="4" t="str">
        <f t="shared" si="4"/>
        <v>Friday</v>
      </c>
      <c r="F296" s="3">
        <v>45135</v>
      </c>
      <c r="G296" s="4" t="s">
        <v>327</v>
      </c>
      <c r="H296" s="4" t="s">
        <v>7</v>
      </c>
      <c r="I296" s="4">
        <v>27</v>
      </c>
      <c r="J296" s="4" t="str" cm="1">
        <f t="array" ref="J296">_xlfn.IFS(I296&lt;30,"Young Adult", I296&lt;50,"Adult",I296 &gt;=50,"Seniors")</f>
        <v>Young Adult</v>
      </c>
      <c r="K296" s="4" t="s">
        <v>2</v>
      </c>
      <c r="L296" s="4">
        <v>3</v>
      </c>
      <c r="M296" s="5">
        <v>300</v>
      </c>
      <c r="N296">
        <f>L296*M296</f>
        <v>900</v>
      </c>
      <c r="O296" s="15">
        <f>N296*$R$3</f>
        <v>13.5</v>
      </c>
    </row>
    <row r="297" spans="1:15">
      <c r="A297" s="2">
        <v>296</v>
      </c>
      <c r="B297" s="4">
        <f>YEAR(F297)</f>
        <v>2023</v>
      </c>
      <c r="C297" s="4">
        <f>MONTH(F297)</f>
        <v>9</v>
      </c>
      <c r="D297" s="4">
        <f>DAY(F297)</f>
        <v>6</v>
      </c>
      <c r="E297" s="4" t="str">
        <f t="shared" si="4"/>
        <v>Wednesday</v>
      </c>
      <c r="F297" s="3">
        <v>45175</v>
      </c>
      <c r="G297" s="4" t="s">
        <v>328</v>
      </c>
      <c r="H297" s="4" t="s">
        <v>7</v>
      </c>
      <c r="I297" s="4">
        <v>22</v>
      </c>
      <c r="J297" s="4" t="str" cm="1">
        <f t="array" ref="J297">_xlfn.IFS(I297&lt;30,"Young Adult", I297&lt;50,"Adult",I297 &gt;=50,"Seniors")</f>
        <v>Young Adult</v>
      </c>
      <c r="K297" s="4" t="s">
        <v>3</v>
      </c>
      <c r="L297" s="4">
        <v>4</v>
      </c>
      <c r="M297" s="5">
        <v>300</v>
      </c>
      <c r="N297">
        <f>L297*M297</f>
        <v>1200</v>
      </c>
      <c r="O297" s="15">
        <f>N297*$R$3</f>
        <v>18</v>
      </c>
    </row>
    <row r="298" spans="1:15">
      <c r="A298" s="2">
        <v>297</v>
      </c>
      <c r="B298" s="4">
        <f>YEAR(F298)</f>
        <v>2023</v>
      </c>
      <c r="C298" s="4">
        <f>MONTH(F298)</f>
        <v>9</v>
      </c>
      <c r="D298" s="4">
        <f>DAY(F298)</f>
        <v>4</v>
      </c>
      <c r="E298" s="4" t="str">
        <f t="shared" si="4"/>
        <v>Monday</v>
      </c>
      <c r="F298" s="3">
        <v>45173</v>
      </c>
      <c r="G298" s="4" t="s">
        <v>329</v>
      </c>
      <c r="H298" s="4" t="s">
        <v>7</v>
      </c>
      <c r="I298" s="4">
        <v>40</v>
      </c>
      <c r="J298" s="4" t="str" cm="1">
        <f t="array" ref="J298">_xlfn.IFS(I298&lt;30,"Young Adult", I298&lt;50,"Adult",I298 &gt;=50,"Seniors")</f>
        <v>Adult</v>
      </c>
      <c r="K298" s="4" t="s">
        <v>4</v>
      </c>
      <c r="L298" s="4">
        <v>2</v>
      </c>
      <c r="M298" s="5">
        <v>500</v>
      </c>
      <c r="N298">
        <f>L298*M298</f>
        <v>1000</v>
      </c>
      <c r="O298" s="15">
        <f>N298*$R$3</f>
        <v>15</v>
      </c>
    </row>
    <row r="299" spans="1:15">
      <c r="A299" s="2">
        <v>298</v>
      </c>
      <c r="B299" s="4">
        <f>YEAR(F299)</f>
        <v>2023</v>
      </c>
      <c r="C299" s="4">
        <f>MONTH(F299)</f>
        <v>4</v>
      </c>
      <c r="D299" s="4">
        <f>DAY(F299)</f>
        <v>20</v>
      </c>
      <c r="E299" s="4" t="str">
        <f t="shared" si="4"/>
        <v>Thursday</v>
      </c>
      <c r="F299" s="3">
        <v>45036</v>
      </c>
      <c r="G299" s="4" t="s">
        <v>330</v>
      </c>
      <c r="H299" s="4" t="s">
        <v>8</v>
      </c>
      <c r="I299" s="4">
        <v>27</v>
      </c>
      <c r="J299" s="4" t="str" cm="1">
        <f t="array" ref="J299">_xlfn.IFS(I299&lt;30,"Young Adult", I299&lt;50,"Adult",I299 &gt;=50,"Seniors")</f>
        <v>Young Adult</v>
      </c>
      <c r="K299" s="4" t="s">
        <v>2</v>
      </c>
      <c r="L299" s="4">
        <v>4</v>
      </c>
      <c r="M299" s="5">
        <v>300</v>
      </c>
      <c r="N299">
        <f>L299*M299</f>
        <v>1200</v>
      </c>
      <c r="O299" s="15">
        <f>N299*$R$3</f>
        <v>18</v>
      </c>
    </row>
    <row r="300" spans="1:15">
      <c r="A300" s="2">
        <v>299</v>
      </c>
      <c r="B300" s="4">
        <f>YEAR(F300)</f>
        <v>2023</v>
      </c>
      <c r="C300" s="4">
        <f>MONTH(F300)</f>
        <v>7</v>
      </c>
      <c r="D300" s="4">
        <f>DAY(F300)</f>
        <v>25</v>
      </c>
      <c r="E300" s="4" t="str">
        <f t="shared" si="4"/>
        <v>Tuesday</v>
      </c>
      <c r="F300" s="3">
        <v>45132</v>
      </c>
      <c r="G300" s="4" t="s">
        <v>331</v>
      </c>
      <c r="H300" s="4" t="s">
        <v>8</v>
      </c>
      <c r="I300" s="4">
        <v>61</v>
      </c>
      <c r="J300" s="4" t="str" cm="1">
        <f t="array" ref="J300">_xlfn.IFS(I300&lt;30,"Young Adult", I300&lt;50,"Adult",I300 &gt;=50,"Seniors")</f>
        <v>Seniors</v>
      </c>
      <c r="K300" s="4" t="s">
        <v>4</v>
      </c>
      <c r="L300" s="4">
        <v>2</v>
      </c>
      <c r="M300" s="5">
        <v>500</v>
      </c>
      <c r="N300">
        <f>L300*M300</f>
        <v>1000</v>
      </c>
      <c r="O300" s="15">
        <f>N300*$R$3</f>
        <v>15</v>
      </c>
    </row>
    <row r="301" spans="1:15">
      <c r="A301" s="2">
        <v>300</v>
      </c>
      <c r="B301" s="4">
        <f>YEAR(F301)</f>
        <v>2023</v>
      </c>
      <c r="C301" s="4">
        <f>MONTH(F301)</f>
        <v>1</v>
      </c>
      <c r="D301" s="4">
        <f>DAY(F301)</f>
        <v>31</v>
      </c>
      <c r="E301" s="4" t="str">
        <f t="shared" si="4"/>
        <v>Tuesday</v>
      </c>
      <c r="F301" s="3">
        <v>44957</v>
      </c>
      <c r="G301" s="4" t="s">
        <v>332</v>
      </c>
      <c r="H301" s="4" t="s">
        <v>7</v>
      </c>
      <c r="I301" s="4">
        <v>19</v>
      </c>
      <c r="J301" s="4" t="str" cm="1">
        <f t="array" ref="J301">_xlfn.IFS(I301&lt;30,"Young Adult", I301&lt;50,"Adult",I301 &gt;=50,"Seniors")</f>
        <v>Young Adult</v>
      </c>
      <c r="K301" s="4" t="s">
        <v>4</v>
      </c>
      <c r="L301" s="4">
        <v>4</v>
      </c>
      <c r="M301" s="5">
        <v>50</v>
      </c>
      <c r="N301">
        <f>L301*M301</f>
        <v>200</v>
      </c>
      <c r="O301" s="15">
        <f>N301*$R$3</f>
        <v>3</v>
      </c>
    </row>
    <row r="302" spans="1:15">
      <c r="A302" s="2">
        <v>301</v>
      </c>
      <c r="B302" s="4">
        <f>YEAR(F302)</f>
        <v>2023</v>
      </c>
      <c r="C302" s="4">
        <f>MONTH(F302)</f>
        <v>3</v>
      </c>
      <c r="D302" s="4">
        <f>DAY(F302)</f>
        <v>26</v>
      </c>
      <c r="E302" s="4" t="str">
        <f t="shared" si="4"/>
        <v>Sunday</v>
      </c>
      <c r="F302" s="3">
        <v>45011</v>
      </c>
      <c r="G302" s="4" t="s">
        <v>333</v>
      </c>
      <c r="H302" s="4" t="s">
        <v>8</v>
      </c>
      <c r="I302" s="4">
        <v>30</v>
      </c>
      <c r="J302" s="4" t="str" cm="1">
        <f t="array" ref="J302">_xlfn.IFS(I302&lt;30,"Young Adult", I302&lt;50,"Adult",I302 &gt;=50,"Seniors")</f>
        <v>Adult</v>
      </c>
      <c r="K302" s="4" t="s">
        <v>3</v>
      </c>
      <c r="L302" s="4">
        <v>4</v>
      </c>
      <c r="M302" s="5">
        <v>30</v>
      </c>
      <c r="N302">
        <f>L302*M302</f>
        <v>120</v>
      </c>
      <c r="O302" s="15">
        <f>N302*$R$3</f>
        <v>1.7999999999999998</v>
      </c>
    </row>
    <row r="303" spans="1:15">
      <c r="A303" s="2">
        <v>302</v>
      </c>
      <c r="B303" s="4">
        <f>YEAR(F303)</f>
        <v>2023</v>
      </c>
      <c r="C303" s="4">
        <f>MONTH(F303)</f>
        <v>7</v>
      </c>
      <c r="D303" s="4">
        <f>DAY(F303)</f>
        <v>14</v>
      </c>
      <c r="E303" s="4" t="str">
        <f t="shared" si="4"/>
        <v>Friday</v>
      </c>
      <c r="F303" s="3">
        <v>45121</v>
      </c>
      <c r="G303" s="4" t="s">
        <v>334</v>
      </c>
      <c r="H303" s="4" t="s">
        <v>8</v>
      </c>
      <c r="I303" s="4">
        <v>57</v>
      </c>
      <c r="J303" s="4" t="str" cm="1">
        <f t="array" ref="J303">_xlfn.IFS(I303&lt;30,"Young Adult", I303&lt;50,"Adult",I303 &gt;=50,"Seniors")</f>
        <v>Seniors</v>
      </c>
      <c r="K303" s="4" t="s">
        <v>2</v>
      </c>
      <c r="L303" s="4">
        <v>2</v>
      </c>
      <c r="M303" s="5">
        <v>300</v>
      </c>
      <c r="N303">
        <f>L303*M303</f>
        <v>600</v>
      </c>
      <c r="O303" s="15">
        <f>N303*$R$3</f>
        <v>9</v>
      </c>
    </row>
    <row r="304" spans="1:15">
      <c r="A304" s="2">
        <v>303</v>
      </c>
      <c r="B304" s="4">
        <f>YEAR(F304)</f>
        <v>2023</v>
      </c>
      <c r="C304" s="4">
        <f>MONTH(F304)</f>
        <v>1</v>
      </c>
      <c r="D304" s="4">
        <f>DAY(F304)</f>
        <v>2</v>
      </c>
      <c r="E304" s="4" t="str">
        <f t="shared" si="4"/>
        <v>Monday</v>
      </c>
      <c r="F304" s="3">
        <v>44928</v>
      </c>
      <c r="G304" s="4" t="s">
        <v>335</v>
      </c>
      <c r="H304" s="4" t="s">
        <v>8</v>
      </c>
      <c r="I304" s="4">
        <v>19</v>
      </c>
      <c r="J304" s="4" t="str" cm="1">
        <f t="array" ref="J304">_xlfn.IFS(I304&lt;30,"Young Adult", I304&lt;50,"Adult",I304 &gt;=50,"Seniors")</f>
        <v>Young Adult</v>
      </c>
      <c r="K304" s="4" t="s">
        <v>4</v>
      </c>
      <c r="L304" s="4">
        <v>3</v>
      </c>
      <c r="M304" s="5">
        <v>30</v>
      </c>
      <c r="N304">
        <f>L304*M304</f>
        <v>90</v>
      </c>
      <c r="O304" s="15">
        <f>N304*$R$3</f>
        <v>1.3499999999999999</v>
      </c>
    </row>
    <row r="305" spans="1:15">
      <c r="A305" s="2">
        <v>304</v>
      </c>
      <c r="B305" s="4">
        <f>YEAR(F305)</f>
        <v>2023</v>
      </c>
      <c r="C305" s="4">
        <f>MONTH(F305)</f>
        <v>7</v>
      </c>
      <c r="D305" s="4">
        <f>DAY(F305)</f>
        <v>19</v>
      </c>
      <c r="E305" s="4" t="str">
        <f t="shared" si="4"/>
        <v>Wednesday</v>
      </c>
      <c r="F305" s="3">
        <v>45126</v>
      </c>
      <c r="G305" s="4" t="s">
        <v>336</v>
      </c>
      <c r="H305" s="4" t="s">
        <v>7</v>
      </c>
      <c r="I305" s="4">
        <v>37</v>
      </c>
      <c r="J305" s="4" t="str" cm="1">
        <f t="array" ref="J305">_xlfn.IFS(I305&lt;30,"Young Adult", I305&lt;50,"Adult",I305 &gt;=50,"Seniors")</f>
        <v>Adult</v>
      </c>
      <c r="K305" s="4" t="s">
        <v>4</v>
      </c>
      <c r="L305" s="4">
        <v>2</v>
      </c>
      <c r="M305" s="5">
        <v>30</v>
      </c>
      <c r="N305">
        <f>L305*M305</f>
        <v>60</v>
      </c>
      <c r="O305" s="15">
        <f>N305*$R$3</f>
        <v>0.89999999999999991</v>
      </c>
    </row>
    <row r="306" spans="1:15">
      <c r="A306" s="2">
        <v>305</v>
      </c>
      <c r="B306" s="4">
        <f>YEAR(F306)</f>
        <v>2023</v>
      </c>
      <c r="C306" s="4">
        <f>MONTH(F306)</f>
        <v>5</v>
      </c>
      <c r="D306" s="4">
        <f>DAY(F306)</f>
        <v>16</v>
      </c>
      <c r="E306" s="4" t="str">
        <f t="shared" si="4"/>
        <v>Tuesday</v>
      </c>
      <c r="F306" s="3">
        <v>45062</v>
      </c>
      <c r="G306" s="4" t="s">
        <v>337</v>
      </c>
      <c r="H306" s="4" t="s">
        <v>7</v>
      </c>
      <c r="I306" s="4">
        <v>18</v>
      </c>
      <c r="J306" s="4" t="str" cm="1">
        <f t="array" ref="J306">_xlfn.IFS(I306&lt;30,"Young Adult", I306&lt;50,"Adult",I306 &gt;=50,"Seniors")</f>
        <v>Young Adult</v>
      </c>
      <c r="K306" s="4" t="s">
        <v>2</v>
      </c>
      <c r="L306" s="4">
        <v>1</v>
      </c>
      <c r="M306" s="5">
        <v>30</v>
      </c>
      <c r="N306">
        <f>L306*M306</f>
        <v>30</v>
      </c>
      <c r="O306" s="15">
        <f>N306*$R$3</f>
        <v>0.44999999999999996</v>
      </c>
    </row>
    <row r="307" spans="1:15">
      <c r="A307" s="2">
        <v>306</v>
      </c>
      <c r="B307" s="4">
        <f>YEAR(F307)</f>
        <v>2023</v>
      </c>
      <c r="C307" s="4">
        <f>MONTH(F307)</f>
        <v>8</v>
      </c>
      <c r="D307" s="4">
        <f>DAY(F307)</f>
        <v>21</v>
      </c>
      <c r="E307" s="4" t="str">
        <f t="shared" si="4"/>
        <v>Monday</v>
      </c>
      <c r="F307" s="3">
        <v>45159</v>
      </c>
      <c r="G307" s="4" t="s">
        <v>338</v>
      </c>
      <c r="H307" s="4" t="s">
        <v>8</v>
      </c>
      <c r="I307" s="4">
        <v>54</v>
      </c>
      <c r="J307" s="4" t="str" cm="1">
        <f t="array" ref="J307">_xlfn.IFS(I307&lt;30,"Young Adult", I307&lt;50,"Adult",I307 &gt;=50,"Seniors")</f>
        <v>Seniors</v>
      </c>
      <c r="K307" s="4" t="s">
        <v>4</v>
      </c>
      <c r="L307" s="4">
        <v>1</v>
      </c>
      <c r="M307" s="5">
        <v>50</v>
      </c>
      <c r="N307">
        <f>L307*M307</f>
        <v>50</v>
      </c>
      <c r="O307" s="15">
        <f>N307*$R$3</f>
        <v>0.75</v>
      </c>
    </row>
    <row r="308" spans="1:15">
      <c r="A308" s="2">
        <v>307</v>
      </c>
      <c r="B308" s="4">
        <f>YEAR(F308)</f>
        <v>2023</v>
      </c>
      <c r="C308" s="4">
        <f>MONTH(F308)</f>
        <v>5</v>
      </c>
      <c r="D308" s="4">
        <f>DAY(F308)</f>
        <v>27</v>
      </c>
      <c r="E308" s="4" t="str">
        <f t="shared" si="4"/>
        <v>Saturday</v>
      </c>
      <c r="F308" s="3">
        <v>45073</v>
      </c>
      <c r="G308" s="4" t="s">
        <v>339</v>
      </c>
      <c r="H308" s="4" t="s">
        <v>7</v>
      </c>
      <c r="I308" s="4">
        <v>26</v>
      </c>
      <c r="J308" s="4" t="str" cm="1">
        <f t="array" ref="J308">_xlfn.IFS(I308&lt;30,"Young Adult", I308&lt;50,"Adult",I308 &gt;=50,"Seniors")</f>
        <v>Young Adult</v>
      </c>
      <c r="K308" s="4" t="s">
        <v>4</v>
      </c>
      <c r="L308" s="4">
        <v>2</v>
      </c>
      <c r="M308" s="5">
        <v>25</v>
      </c>
      <c r="N308">
        <f>L308*M308</f>
        <v>50</v>
      </c>
      <c r="O308" s="15">
        <f>N308*$R$3</f>
        <v>0.75</v>
      </c>
    </row>
    <row r="309" spans="1:15">
      <c r="A309" s="2">
        <v>308</v>
      </c>
      <c r="B309" s="4">
        <f>YEAR(F309)</f>
        <v>2023</v>
      </c>
      <c r="C309" s="4">
        <f>MONTH(F309)</f>
        <v>8</v>
      </c>
      <c r="D309" s="4">
        <f>DAY(F309)</f>
        <v>5</v>
      </c>
      <c r="E309" s="4" t="str">
        <f t="shared" si="4"/>
        <v>Saturday</v>
      </c>
      <c r="F309" s="3">
        <v>45143</v>
      </c>
      <c r="G309" s="4" t="s">
        <v>340</v>
      </c>
      <c r="H309" s="4" t="s">
        <v>7</v>
      </c>
      <c r="I309" s="4">
        <v>34</v>
      </c>
      <c r="J309" s="4" t="str" cm="1">
        <f t="array" ref="J309">_xlfn.IFS(I309&lt;30,"Young Adult", I309&lt;50,"Adult",I309 &gt;=50,"Seniors")</f>
        <v>Adult</v>
      </c>
      <c r="K309" s="4" t="s">
        <v>2</v>
      </c>
      <c r="L309" s="4">
        <v>4</v>
      </c>
      <c r="M309" s="5">
        <v>300</v>
      </c>
      <c r="N309">
        <f>L309*M309</f>
        <v>1200</v>
      </c>
      <c r="O309" s="15">
        <f>N309*$R$3</f>
        <v>18</v>
      </c>
    </row>
    <row r="310" spans="1:15">
      <c r="A310" s="2">
        <v>309</v>
      </c>
      <c r="B310" s="4">
        <f>YEAR(F310)</f>
        <v>2023</v>
      </c>
      <c r="C310" s="4">
        <f>MONTH(F310)</f>
        <v>12</v>
      </c>
      <c r="D310" s="4">
        <f>DAY(F310)</f>
        <v>23</v>
      </c>
      <c r="E310" s="4" t="str">
        <f t="shared" si="4"/>
        <v>Saturday</v>
      </c>
      <c r="F310" s="3">
        <v>45283</v>
      </c>
      <c r="G310" s="4" t="s">
        <v>341</v>
      </c>
      <c r="H310" s="4" t="s">
        <v>7</v>
      </c>
      <c r="I310" s="4">
        <v>26</v>
      </c>
      <c r="J310" s="4" t="str" cm="1">
        <f t="array" ref="J310">_xlfn.IFS(I310&lt;30,"Young Adult", I310&lt;50,"Adult",I310 &gt;=50,"Seniors")</f>
        <v>Young Adult</v>
      </c>
      <c r="K310" s="4" t="s">
        <v>2</v>
      </c>
      <c r="L310" s="4">
        <v>1</v>
      </c>
      <c r="M310" s="5">
        <v>25</v>
      </c>
      <c r="N310">
        <f>L310*M310</f>
        <v>25</v>
      </c>
      <c r="O310" s="15">
        <f>N310*$R$3</f>
        <v>0.375</v>
      </c>
    </row>
    <row r="311" spans="1:15">
      <c r="A311" s="2">
        <v>310</v>
      </c>
      <c r="B311" s="4">
        <f>YEAR(F311)</f>
        <v>2023</v>
      </c>
      <c r="C311" s="4">
        <f>MONTH(F311)</f>
        <v>10</v>
      </c>
      <c r="D311" s="4">
        <f>DAY(F311)</f>
        <v>12</v>
      </c>
      <c r="E311" s="4" t="str">
        <f t="shared" si="4"/>
        <v>Thursday</v>
      </c>
      <c r="F311" s="3">
        <v>45211</v>
      </c>
      <c r="G311" s="4" t="s">
        <v>342</v>
      </c>
      <c r="H311" s="4" t="s">
        <v>7</v>
      </c>
      <c r="I311" s="4">
        <v>28</v>
      </c>
      <c r="J311" s="4" t="str" cm="1">
        <f t="array" ref="J311">_xlfn.IFS(I311&lt;30,"Young Adult", I311&lt;50,"Adult",I311 &gt;=50,"Seniors")</f>
        <v>Young Adult</v>
      </c>
      <c r="K311" s="4" t="s">
        <v>2</v>
      </c>
      <c r="L311" s="4">
        <v>1</v>
      </c>
      <c r="M311" s="5">
        <v>25</v>
      </c>
      <c r="N311">
        <f>L311*M311</f>
        <v>25</v>
      </c>
      <c r="O311" s="15">
        <f>N311*$R$3</f>
        <v>0.375</v>
      </c>
    </row>
    <row r="312" spans="1:15">
      <c r="A312" s="2">
        <v>311</v>
      </c>
      <c r="B312" s="4">
        <f>YEAR(F312)</f>
        <v>2023</v>
      </c>
      <c r="C312" s="4">
        <f>MONTH(F312)</f>
        <v>12</v>
      </c>
      <c r="D312" s="4">
        <f>DAY(F312)</f>
        <v>5</v>
      </c>
      <c r="E312" s="4" t="str">
        <f t="shared" si="4"/>
        <v>Tuesday</v>
      </c>
      <c r="F312" s="3">
        <v>45265</v>
      </c>
      <c r="G312" s="4" t="s">
        <v>343</v>
      </c>
      <c r="H312" s="4" t="s">
        <v>7</v>
      </c>
      <c r="I312" s="4">
        <v>32</v>
      </c>
      <c r="J312" s="4" t="str" cm="1">
        <f t="array" ref="J312">_xlfn.IFS(I312&lt;30,"Young Adult", I312&lt;50,"Adult",I312 &gt;=50,"Seniors")</f>
        <v>Adult</v>
      </c>
      <c r="K312" s="4" t="s">
        <v>2</v>
      </c>
      <c r="L312" s="4">
        <v>4</v>
      </c>
      <c r="M312" s="5">
        <v>25</v>
      </c>
      <c r="N312">
        <f>L312*M312</f>
        <v>100</v>
      </c>
      <c r="O312" s="15">
        <f>N312*$R$3</f>
        <v>1.5</v>
      </c>
    </row>
    <row r="313" spans="1:15">
      <c r="A313" s="2">
        <v>312</v>
      </c>
      <c r="B313" s="4">
        <f>YEAR(F313)</f>
        <v>2023</v>
      </c>
      <c r="C313" s="4">
        <f>MONTH(F313)</f>
        <v>9</v>
      </c>
      <c r="D313" s="4">
        <f>DAY(F313)</f>
        <v>7</v>
      </c>
      <c r="E313" s="4" t="str">
        <f t="shared" si="4"/>
        <v>Thursday</v>
      </c>
      <c r="F313" s="3">
        <v>45176</v>
      </c>
      <c r="G313" s="4" t="s">
        <v>344</v>
      </c>
      <c r="H313" s="4" t="s">
        <v>8</v>
      </c>
      <c r="I313" s="4">
        <v>41</v>
      </c>
      <c r="J313" s="4" t="str" cm="1">
        <f t="array" ref="J313">_xlfn.IFS(I313&lt;30,"Young Adult", I313&lt;50,"Adult",I313 &gt;=50,"Seniors")</f>
        <v>Adult</v>
      </c>
      <c r="K313" s="4" t="s">
        <v>3</v>
      </c>
      <c r="L313" s="4">
        <v>4</v>
      </c>
      <c r="M313" s="5">
        <v>30</v>
      </c>
      <c r="N313">
        <f>L313*M313</f>
        <v>120</v>
      </c>
      <c r="O313" s="15">
        <f>N313*$R$3</f>
        <v>1.7999999999999998</v>
      </c>
    </row>
    <row r="314" spans="1:15">
      <c r="A314" s="2">
        <v>313</v>
      </c>
      <c r="B314" s="4">
        <f>YEAR(F314)</f>
        <v>2023</v>
      </c>
      <c r="C314" s="4">
        <f>MONTH(F314)</f>
        <v>3</v>
      </c>
      <c r="D314" s="4">
        <f>DAY(F314)</f>
        <v>21</v>
      </c>
      <c r="E314" s="4" t="str">
        <f t="shared" si="4"/>
        <v>Tuesday</v>
      </c>
      <c r="F314" s="3">
        <v>45006</v>
      </c>
      <c r="G314" s="4" t="s">
        <v>345</v>
      </c>
      <c r="H314" s="4" t="s">
        <v>7</v>
      </c>
      <c r="I314" s="4">
        <v>55</v>
      </c>
      <c r="J314" s="4" t="str" cm="1">
        <f t="array" ref="J314">_xlfn.IFS(I314&lt;30,"Young Adult", I314&lt;50,"Adult",I314 &gt;=50,"Seniors")</f>
        <v>Seniors</v>
      </c>
      <c r="K314" s="4" t="s">
        <v>2</v>
      </c>
      <c r="L314" s="4">
        <v>3</v>
      </c>
      <c r="M314" s="5">
        <v>500</v>
      </c>
      <c r="N314">
        <f>L314*M314</f>
        <v>1500</v>
      </c>
      <c r="O314" s="15">
        <f>N314*$R$3</f>
        <v>22.5</v>
      </c>
    </row>
    <row r="315" spans="1:15">
      <c r="A315" s="2">
        <v>314</v>
      </c>
      <c r="B315" s="4">
        <f>YEAR(F315)</f>
        <v>2023</v>
      </c>
      <c r="C315" s="4">
        <f>MONTH(F315)</f>
        <v>4</v>
      </c>
      <c r="D315" s="4">
        <f>DAY(F315)</f>
        <v>8</v>
      </c>
      <c r="E315" s="4" t="str">
        <f t="shared" si="4"/>
        <v>Saturday</v>
      </c>
      <c r="F315" s="3">
        <v>45024</v>
      </c>
      <c r="G315" s="4" t="s">
        <v>346</v>
      </c>
      <c r="H315" s="4" t="s">
        <v>8</v>
      </c>
      <c r="I315" s="4">
        <v>52</v>
      </c>
      <c r="J315" s="4" t="str" cm="1">
        <f t="array" ref="J315">_xlfn.IFS(I315&lt;30,"Young Adult", I315&lt;50,"Adult",I315 &gt;=50,"Seniors")</f>
        <v>Seniors</v>
      </c>
      <c r="K315" s="4" t="s">
        <v>3</v>
      </c>
      <c r="L315" s="4">
        <v>4</v>
      </c>
      <c r="M315" s="5">
        <v>30</v>
      </c>
      <c r="N315">
        <f>L315*M315</f>
        <v>120</v>
      </c>
      <c r="O315" s="15">
        <f>N315*$R$3</f>
        <v>1.7999999999999998</v>
      </c>
    </row>
    <row r="316" spans="1:15">
      <c r="A316" s="2">
        <v>315</v>
      </c>
      <c r="B316" s="4">
        <f>YEAR(F316)</f>
        <v>2023</v>
      </c>
      <c r="C316" s="4">
        <f>MONTH(F316)</f>
        <v>6</v>
      </c>
      <c r="D316" s="4">
        <f>DAY(F316)</f>
        <v>1</v>
      </c>
      <c r="E316" s="4" t="str">
        <f t="shared" si="4"/>
        <v>Thursday</v>
      </c>
      <c r="F316" s="3">
        <v>45078</v>
      </c>
      <c r="G316" s="4" t="s">
        <v>347</v>
      </c>
      <c r="H316" s="4" t="s">
        <v>8</v>
      </c>
      <c r="I316" s="4">
        <v>47</v>
      </c>
      <c r="J316" s="4" t="str" cm="1">
        <f t="array" ref="J316">_xlfn.IFS(I316&lt;30,"Young Adult", I316&lt;50,"Adult",I316 &gt;=50,"Seniors")</f>
        <v>Adult</v>
      </c>
      <c r="K316" s="4" t="s">
        <v>3</v>
      </c>
      <c r="L316" s="4">
        <v>2</v>
      </c>
      <c r="M316" s="5">
        <v>30</v>
      </c>
      <c r="N316">
        <f>L316*M316</f>
        <v>60</v>
      </c>
      <c r="O316" s="15">
        <f>N316*$R$3</f>
        <v>0.89999999999999991</v>
      </c>
    </row>
    <row r="317" spans="1:15">
      <c r="A317" s="2">
        <v>316</v>
      </c>
      <c r="B317" s="4">
        <f>YEAR(F317)</f>
        <v>2023</v>
      </c>
      <c r="C317" s="4">
        <f>MONTH(F317)</f>
        <v>4</v>
      </c>
      <c r="D317" s="4">
        <f>DAY(F317)</f>
        <v>22</v>
      </c>
      <c r="E317" s="4" t="str">
        <f t="shared" si="4"/>
        <v>Saturday</v>
      </c>
      <c r="F317" s="3">
        <v>45038</v>
      </c>
      <c r="G317" s="4" t="s">
        <v>348</v>
      </c>
      <c r="H317" s="4" t="s">
        <v>7</v>
      </c>
      <c r="I317" s="4">
        <v>48</v>
      </c>
      <c r="J317" s="4" t="str" cm="1">
        <f t="array" ref="J317">_xlfn.IFS(I317&lt;30,"Young Adult", I317&lt;50,"Adult",I317 &gt;=50,"Seniors")</f>
        <v>Adult</v>
      </c>
      <c r="K317" s="4" t="s">
        <v>3</v>
      </c>
      <c r="L317" s="4">
        <v>2</v>
      </c>
      <c r="M317" s="5">
        <v>25</v>
      </c>
      <c r="N317">
        <f>L317*M317</f>
        <v>50</v>
      </c>
      <c r="O317" s="15">
        <f>N317*$R$3</f>
        <v>0.75</v>
      </c>
    </row>
    <row r="318" spans="1:15">
      <c r="A318" s="2">
        <v>317</v>
      </c>
      <c r="B318" s="4">
        <f>YEAR(F318)</f>
        <v>2023</v>
      </c>
      <c r="C318" s="4">
        <f>MONTH(F318)</f>
        <v>1</v>
      </c>
      <c r="D318" s="4">
        <f>DAY(F318)</f>
        <v>30</v>
      </c>
      <c r="E318" s="4" t="str">
        <f t="shared" si="4"/>
        <v>Monday</v>
      </c>
      <c r="F318" s="3">
        <v>44956</v>
      </c>
      <c r="G318" s="4" t="s">
        <v>349</v>
      </c>
      <c r="H318" s="4" t="s">
        <v>8</v>
      </c>
      <c r="I318" s="4">
        <v>22</v>
      </c>
      <c r="J318" s="4" t="str" cm="1">
        <f t="array" ref="J318">_xlfn.IFS(I318&lt;30,"Young Adult", I318&lt;50,"Adult",I318 &gt;=50,"Seniors")</f>
        <v>Young Adult</v>
      </c>
      <c r="K318" s="4" t="s">
        <v>4</v>
      </c>
      <c r="L318" s="4">
        <v>3</v>
      </c>
      <c r="M318" s="5">
        <v>30</v>
      </c>
      <c r="N318">
        <f>L318*M318</f>
        <v>90</v>
      </c>
      <c r="O318" s="15">
        <f>N318*$R$3</f>
        <v>1.3499999999999999</v>
      </c>
    </row>
    <row r="319" spans="1:15">
      <c r="A319" s="2">
        <v>318</v>
      </c>
      <c r="B319" s="4">
        <f>YEAR(F319)</f>
        <v>2023</v>
      </c>
      <c r="C319" s="4">
        <f>MONTH(F319)</f>
        <v>10</v>
      </c>
      <c r="D319" s="4">
        <f>DAY(F319)</f>
        <v>24</v>
      </c>
      <c r="E319" s="4" t="str">
        <f t="shared" si="4"/>
        <v>Tuesday</v>
      </c>
      <c r="F319" s="3">
        <v>45223</v>
      </c>
      <c r="G319" s="4" t="s">
        <v>350</v>
      </c>
      <c r="H319" s="4" t="s">
        <v>8</v>
      </c>
      <c r="I319" s="4">
        <v>61</v>
      </c>
      <c r="J319" s="4" t="str" cm="1">
        <f t="array" ref="J319">_xlfn.IFS(I319&lt;30,"Young Adult", I319&lt;50,"Adult",I319 &gt;=50,"Seniors")</f>
        <v>Seniors</v>
      </c>
      <c r="K319" s="4" t="s">
        <v>3</v>
      </c>
      <c r="L319" s="4">
        <v>1</v>
      </c>
      <c r="M319" s="5">
        <v>25</v>
      </c>
      <c r="N319">
        <f>L319*M319</f>
        <v>25</v>
      </c>
      <c r="O319" s="15">
        <f>N319*$R$3</f>
        <v>0.375</v>
      </c>
    </row>
    <row r="320" spans="1:15">
      <c r="A320" s="2">
        <v>319</v>
      </c>
      <c r="B320" s="4">
        <f>YEAR(F320)</f>
        <v>2023</v>
      </c>
      <c r="C320" s="4">
        <f>MONTH(F320)</f>
        <v>10</v>
      </c>
      <c r="D320" s="4">
        <f>DAY(F320)</f>
        <v>5</v>
      </c>
      <c r="E320" s="4" t="str">
        <f t="shared" si="4"/>
        <v>Thursday</v>
      </c>
      <c r="F320" s="3">
        <v>45204</v>
      </c>
      <c r="G320" s="4" t="s">
        <v>351</v>
      </c>
      <c r="H320" s="4" t="s">
        <v>8</v>
      </c>
      <c r="I320" s="4">
        <v>31</v>
      </c>
      <c r="J320" s="4" t="str" cm="1">
        <f t="array" ref="J320">_xlfn.IFS(I320&lt;30,"Young Adult", I320&lt;50,"Adult",I320 &gt;=50,"Seniors")</f>
        <v>Adult</v>
      </c>
      <c r="K320" s="4" t="s">
        <v>3</v>
      </c>
      <c r="L320" s="4">
        <v>1</v>
      </c>
      <c r="M320" s="5">
        <v>500</v>
      </c>
      <c r="N320">
        <f>L320*M320</f>
        <v>500</v>
      </c>
      <c r="O320" s="15">
        <f>N320*$R$3</f>
        <v>7.5</v>
      </c>
    </row>
    <row r="321" spans="1:15">
      <c r="A321" s="2">
        <v>320</v>
      </c>
      <c r="B321" s="4">
        <f>YEAR(F321)</f>
        <v>2023</v>
      </c>
      <c r="C321" s="4">
        <f>MONTH(F321)</f>
        <v>2</v>
      </c>
      <c r="D321" s="4">
        <f>DAY(F321)</f>
        <v>1</v>
      </c>
      <c r="E321" s="4" t="str">
        <f t="shared" si="4"/>
        <v>Wednesday</v>
      </c>
      <c r="F321" s="3">
        <v>44958</v>
      </c>
      <c r="G321" s="4" t="s">
        <v>352</v>
      </c>
      <c r="H321" s="4" t="s">
        <v>7</v>
      </c>
      <c r="I321" s="4">
        <v>28</v>
      </c>
      <c r="J321" s="4" t="str" cm="1">
        <f t="array" ref="J321">_xlfn.IFS(I321&lt;30,"Young Adult", I321&lt;50,"Adult",I321 &gt;=50,"Seniors")</f>
        <v>Young Adult</v>
      </c>
      <c r="K321" s="4" t="s">
        <v>4</v>
      </c>
      <c r="L321" s="4">
        <v>4</v>
      </c>
      <c r="M321" s="5">
        <v>300</v>
      </c>
      <c r="N321">
        <f>L321*M321</f>
        <v>1200</v>
      </c>
      <c r="O321" s="15">
        <f>N321*$R$3</f>
        <v>18</v>
      </c>
    </row>
    <row r="322" spans="1:15">
      <c r="A322" s="2">
        <v>321</v>
      </c>
      <c r="B322" s="4">
        <f>YEAR(F322)</f>
        <v>2023</v>
      </c>
      <c r="C322" s="4">
        <f>MONTH(F322)</f>
        <v>6</v>
      </c>
      <c r="D322" s="4">
        <f>DAY(F322)</f>
        <v>10</v>
      </c>
      <c r="E322" s="4" t="str">
        <f t="shared" si="4"/>
        <v>Saturday</v>
      </c>
      <c r="F322" s="3">
        <v>45087</v>
      </c>
      <c r="G322" s="4" t="s">
        <v>353</v>
      </c>
      <c r="H322" s="4" t="s">
        <v>7</v>
      </c>
      <c r="I322" s="4">
        <v>26</v>
      </c>
      <c r="J322" s="4" t="str" cm="1">
        <f t="array" ref="J322">_xlfn.IFS(I322&lt;30,"Young Adult", I322&lt;50,"Adult",I322 &gt;=50,"Seniors")</f>
        <v>Young Adult</v>
      </c>
      <c r="K322" s="4" t="s">
        <v>4</v>
      </c>
      <c r="L322" s="4">
        <v>2</v>
      </c>
      <c r="M322" s="5">
        <v>25</v>
      </c>
      <c r="N322">
        <f>L322*M322</f>
        <v>50</v>
      </c>
      <c r="O322" s="15">
        <f>N322*$R$3</f>
        <v>0.75</v>
      </c>
    </row>
    <row r="323" spans="1:15">
      <c r="A323" s="2">
        <v>322</v>
      </c>
      <c r="B323" s="4">
        <f>YEAR(F323)</f>
        <v>2023</v>
      </c>
      <c r="C323" s="4">
        <f>MONTH(F323)</f>
        <v>1</v>
      </c>
      <c r="D323" s="4">
        <f>DAY(F323)</f>
        <v>30</v>
      </c>
      <c r="E323" s="4" t="str">
        <f t="shared" ref="E323:E386" si="5">TEXT(F323,"dddd")</f>
        <v>Monday</v>
      </c>
      <c r="F323" s="3">
        <v>44956</v>
      </c>
      <c r="G323" s="4" t="s">
        <v>354</v>
      </c>
      <c r="H323" s="4" t="s">
        <v>8</v>
      </c>
      <c r="I323" s="4">
        <v>51</v>
      </c>
      <c r="J323" s="4" t="str" cm="1">
        <f t="array" ref="J323">_xlfn.IFS(I323&lt;30,"Young Adult", I323&lt;50,"Adult",I323 &gt;=50,"Seniors")</f>
        <v>Seniors</v>
      </c>
      <c r="K323" s="4" t="s">
        <v>4</v>
      </c>
      <c r="L323" s="4">
        <v>1</v>
      </c>
      <c r="M323" s="5">
        <v>500</v>
      </c>
      <c r="N323">
        <f>L323*M323</f>
        <v>500</v>
      </c>
      <c r="O323" s="15">
        <f>N323*$R$3</f>
        <v>7.5</v>
      </c>
    </row>
    <row r="324" spans="1:15">
      <c r="A324" s="2">
        <v>323</v>
      </c>
      <c r="B324" s="4">
        <f>YEAR(F324)</f>
        <v>2023</v>
      </c>
      <c r="C324" s="4">
        <f>MONTH(F324)</f>
        <v>1</v>
      </c>
      <c r="D324" s="4">
        <f>DAY(F324)</f>
        <v>26</v>
      </c>
      <c r="E324" s="4" t="str">
        <f t="shared" si="5"/>
        <v>Thursday</v>
      </c>
      <c r="F324" s="3">
        <v>44952</v>
      </c>
      <c r="G324" s="4" t="s">
        <v>355</v>
      </c>
      <c r="H324" s="4" t="s">
        <v>7</v>
      </c>
      <c r="I324" s="4">
        <v>29</v>
      </c>
      <c r="J324" s="4" t="str" cm="1">
        <f t="array" ref="J324">_xlfn.IFS(I324&lt;30,"Young Adult", I324&lt;50,"Adult",I324 &gt;=50,"Seniors")</f>
        <v>Young Adult</v>
      </c>
      <c r="K324" s="4" t="s">
        <v>2</v>
      </c>
      <c r="L324" s="4">
        <v>3</v>
      </c>
      <c r="M324" s="5">
        <v>300</v>
      </c>
      <c r="N324">
        <f>L324*M324</f>
        <v>900</v>
      </c>
      <c r="O324" s="15">
        <f>N324*$R$3</f>
        <v>13.5</v>
      </c>
    </row>
    <row r="325" spans="1:15">
      <c r="A325" s="2">
        <v>324</v>
      </c>
      <c r="B325" s="4">
        <f>YEAR(F325)</f>
        <v>2023</v>
      </c>
      <c r="C325" s="4">
        <f>MONTH(F325)</f>
        <v>10</v>
      </c>
      <c r="D325" s="4">
        <f>DAY(F325)</f>
        <v>27</v>
      </c>
      <c r="E325" s="4" t="str">
        <f t="shared" si="5"/>
        <v>Friday</v>
      </c>
      <c r="F325" s="3">
        <v>45226</v>
      </c>
      <c r="G325" s="4" t="s">
        <v>356</v>
      </c>
      <c r="H325" s="4" t="s">
        <v>7</v>
      </c>
      <c r="I325" s="4">
        <v>52</v>
      </c>
      <c r="J325" s="4" t="str" cm="1">
        <f t="array" ref="J325">_xlfn.IFS(I325&lt;30,"Young Adult", I325&lt;50,"Adult",I325 &gt;=50,"Seniors")</f>
        <v>Seniors</v>
      </c>
      <c r="K325" s="4" t="s">
        <v>4</v>
      </c>
      <c r="L325" s="4">
        <v>3</v>
      </c>
      <c r="M325" s="5">
        <v>50</v>
      </c>
      <c r="N325">
        <f>L325*M325</f>
        <v>150</v>
      </c>
      <c r="O325" s="15">
        <f>N325*$R$3</f>
        <v>2.25</v>
      </c>
    </row>
    <row r="326" spans="1:15">
      <c r="A326" s="2">
        <v>325</v>
      </c>
      <c r="B326" s="4">
        <f>YEAR(F326)</f>
        <v>2023</v>
      </c>
      <c r="C326" s="4">
        <f>MONTH(F326)</f>
        <v>9</v>
      </c>
      <c r="D326" s="4">
        <f>DAY(F326)</f>
        <v>2</v>
      </c>
      <c r="E326" s="4" t="str">
        <f t="shared" si="5"/>
        <v>Saturday</v>
      </c>
      <c r="F326" s="3">
        <v>45171</v>
      </c>
      <c r="G326" s="4" t="s">
        <v>357</v>
      </c>
      <c r="H326" s="4" t="s">
        <v>7</v>
      </c>
      <c r="I326" s="4">
        <v>52</v>
      </c>
      <c r="J326" s="4" t="str" cm="1">
        <f t="array" ref="J326">_xlfn.IFS(I326&lt;30,"Young Adult", I326&lt;50,"Adult",I326 &gt;=50,"Seniors")</f>
        <v>Seniors</v>
      </c>
      <c r="K326" s="4" t="s">
        <v>4</v>
      </c>
      <c r="L326" s="4">
        <v>2</v>
      </c>
      <c r="M326" s="5">
        <v>25</v>
      </c>
      <c r="N326">
        <f>L326*M326</f>
        <v>50</v>
      </c>
      <c r="O326" s="15">
        <f>N326*$R$3</f>
        <v>0.75</v>
      </c>
    </row>
    <row r="327" spans="1:15">
      <c r="A327" s="2">
        <v>326</v>
      </c>
      <c r="B327" s="4">
        <f>YEAR(F327)</f>
        <v>2023</v>
      </c>
      <c r="C327" s="4">
        <f>MONTH(F327)</f>
        <v>9</v>
      </c>
      <c r="D327" s="4">
        <f>DAY(F327)</f>
        <v>15</v>
      </c>
      <c r="E327" s="4" t="str">
        <f t="shared" si="5"/>
        <v>Friday</v>
      </c>
      <c r="F327" s="3">
        <v>45184</v>
      </c>
      <c r="G327" s="4" t="s">
        <v>358</v>
      </c>
      <c r="H327" s="4" t="s">
        <v>7</v>
      </c>
      <c r="I327" s="4">
        <v>18</v>
      </c>
      <c r="J327" s="4" t="str" cm="1">
        <f t="array" ref="J327">_xlfn.IFS(I327&lt;30,"Young Adult", I327&lt;50,"Adult",I327 &gt;=50,"Seniors")</f>
        <v>Young Adult</v>
      </c>
      <c r="K327" s="4" t="s">
        <v>3</v>
      </c>
      <c r="L327" s="4">
        <v>3</v>
      </c>
      <c r="M327" s="5">
        <v>25</v>
      </c>
      <c r="N327">
        <f>L327*M327</f>
        <v>75</v>
      </c>
      <c r="O327" s="15">
        <f>N327*$R$3</f>
        <v>1.125</v>
      </c>
    </row>
    <row r="328" spans="1:15">
      <c r="A328" s="2">
        <v>327</v>
      </c>
      <c r="B328" s="4">
        <f>YEAR(F328)</f>
        <v>2023</v>
      </c>
      <c r="C328" s="4">
        <f>MONTH(F328)</f>
        <v>9</v>
      </c>
      <c r="D328" s="4">
        <f>DAY(F328)</f>
        <v>29</v>
      </c>
      <c r="E328" s="4" t="str">
        <f t="shared" si="5"/>
        <v>Friday</v>
      </c>
      <c r="F328" s="3">
        <v>45198</v>
      </c>
      <c r="G328" s="4" t="s">
        <v>359</v>
      </c>
      <c r="H328" s="4" t="s">
        <v>8</v>
      </c>
      <c r="I328" s="4">
        <v>57</v>
      </c>
      <c r="J328" s="4" t="str" cm="1">
        <f t="array" ref="J328">_xlfn.IFS(I328&lt;30,"Young Adult", I328&lt;50,"Adult",I328 &gt;=50,"Seniors")</f>
        <v>Seniors</v>
      </c>
      <c r="K328" s="4" t="s">
        <v>4</v>
      </c>
      <c r="L328" s="4">
        <v>3</v>
      </c>
      <c r="M328" s="5">
        <v>50</v>
      </c>
      <c r="N328">
        <f>L328*M328</f>
        <v>150</v>
      </c>
      <c r="O328" s="15">
        <f>N328*$R$3</f>
        <v>2.25</v>
      </c>
    </row>
    <row r="329" spans="1:15">
      <c r="A329" s="2">
        <v>328</v>
      </c>
      <c r="B329" s="4">
        <f>YEAR(F329)</f>
        <v>2023</v>
      </c>
      <c r="C329" s="4">
        <f>MONTH(F329)</f>
        <v>3</v>
      </c>
      <c r="D329" s="4">
        <f>DAY(F329)</f>
        <v>22</v>
      </c>
      <c r="E329" s="4" t="str">
        <f t="shared" si="5"/>
        <v>Wednesday</v>
      </c>
      <c r="F329" s="3">
        <v>45007</v>
      </c>
      <c r="G329" s="4" t="s">
        <v>360</v>
      </c>
      <c r="H329" s="4" t="s">
        <v>8</v>
      </c>
      <c r="I329" s="4">
        <v>39</v>
      </c>
      <c r="J329" s="4" t="str" cm="1">
        <f t="array" ref="J329">_xlfn.IFS(I329&lt;30,"Young Adult", I329&lt;50,"Adult",I329 &gt;=50,"Seniors")</f>
        <v>Adult</v>
      </c>
      <c r="K329" s="4" t="s">
        <v>2</v>
      </c>
      <c r="L329" s="4">
        <v>2</v>
      </c>
      <c r="M329" s="5">
        <v>50</v>
      </c>
      <c r="N329">
        <f>L329*M329</f>
        <v>100</v>
      </c>
      <c r="O329" s="15">
        <f>N329*$R$3</f>
        <v>1.5</v>
      </c>
    </row>
    <row r="330" spans="1:15">
      <c r="A330" s="2">
        <v>329</v>
      </c>
      <c r="B330" s="4">
        <f>YEAR(F330)</f>
        <v>2023</v>
      </c>
      <c r="C330" s="4">
        <f>MONTH(F330)</f>
        <v>1</v>
      </c>
      <c r="D330" s="4">
        <f>DAY(F330)</f>
        <v>30</v>
      </c>
      <c r="E330" s="4" t="str">
        <f t="shared" si="5"/>
        <v>Monday</v>
      </c>
      <c r="F330" s="3">
        <v>44956</v>
      </c>
      <c r="G330" s="4" t="s">
        <v>361</v>
      </c>
      <c r="H330" s="4" t="s">
        <v>7</v>
      </c>
      <c r="I330" s="4">
        <v>46</v>
      </c>
      <c r="J330" s="4" t="str" cm="1">
        <f t="array" ref="J330">_xlfn.IFS(I330&lt;30,"Young Adult", I330&lt;50,"Adult",I330 &gt;=50,"Seniors")</f>
        <v>Adult</v>
      </c>
      <c r="K330" s="4" t="s">
        <v>4</v>
      </c>
      <c r="L330" s="4">
        <v>4</v>
      </c>
      <c r="M330" s="5">
        <v>25</v>
      </c>
      <c r="N330">
        <f>L330*M330</f>
        <v>100</v>
      </c>
      <c r="O330" s="15">
        <f>N330*$R$3</f>
        <v>1.5</v>
      </c>
    </row>
    <row r="331" spans="1:15">
      <c r="A331" s="2">
        <v>330</v>
      </c>
      <c r="B331" s="4">
        <f>YEAR(F331)</f>
        <v>2023</v>
      </c>
      <c r="C331" s="4">
        <f>MONTH(F331)</f>
        <v>9</v>
      </c>
      <c r="D331" s="4">
        <f>DAY(F331)</f>
        <v>18</v>
      </c>
      <c r="E331" s="4" t="str">
        <f t="shared" si="5"/>
        <v>Monday</v>
      </c>
      <c r="F331" s="3">
        <v>45187</v>
      </c>
      <c r="G331" s="4" t="s">
        <v>362</v>
      </c>
      <c r="H331" s="4" t="s">
        <v>7</v>
      </c>
      <c r="I331" s="4">
        <v>25</v>
      </c>
      <c r="J331" s="4" t="str" cm="1">
        <f t="array" ref="J331">_xlfn.IFS(I331&lt;30,"Young Adult", I331&lt;50,"Adult",I331 &gt;=50,"Seniors")</f>
        <v>Young Adult</v>
      </c>
      <c r="K331" s="4" t="s">
        <v>2</v>
      </c>
      <c r="L331" s="4">
        <v>4</v>
      </c>
      <c r="M331" s="5">
        <v>50</v>
      </c>
      <c r="N331">
        <f>L331*M331</f>
        <v>200</v>
      </c>
      <c r="O331" s="15">
        <f>N331*$R$3</f>
        <v>3</v>
      </c>
    </row>
    <row r="332" spans="1:15">
      <c r="A332" s="2">
        <v>331</v>
      </c>
      <c r="B332" s="4">
        <f>YEAR(F332)</f>
        <v>2023</v>
      </c>
      <c r="C332" s="4">
        <f>MONTH(F332)</f>
        <v>2</v>
      </c>
      <c r="D332" s="4">
        <f>DAY(F332)</f>
        <v>11</v>
      </c>
      <c r="E332" s="4" t="str">
        <f t="shared" si="5"/>
        <v>Saturday</v>
      </c>
      <c r="F332" s="3">
        <v>44968</v>
      </c>
      <c r="G332" s="4" t="s">
        <v>363</v>
      </c>
      <c r="H332" s="4" t="s">
        <v>8</v>
      </c>
      <c r="I332" s="4">
        <v>28</v>
      </c>
      <c r="J332" s="4" t="str" cm="1">
        <f t="array" ref="J332">_xlfn.IFS(I332&lt;30,"Young Adult", I332&lt;50,"Adult",I332 &gt;=50,"Seniors")</f>
        <v>Young Adult</v>
      </c>
      <c r="K332" s="4" t="s">
        <v>4</v>
      </c>
      <c r="L332" s="4">
        <v>3</v>
      </c>
      <c r="M332" s="5">
        <v>30</v>
      </c>
      <c r="N332">
        <f>L332*M332</f>
        <v>90</v>
      </c>
      <c r="O332" s="15">
        <f>N332*$R$3</f>
        <v>1.3499999999999999</v>
      </c>
    </row>
    <row r="333" spans="1:15">
      <c r="A333" s="2">
        <v>332</v>
      </c>
      <c r="B333" s="4">
        <f>YEAR(F333)</f>
        <v>2023</v>
      </c>
      <c r="C333" s="4">
        <f>MONTH(F333)</f>
        <v>4</v>
      </c>
      <c r="D333" s="4">
        <f>DAY(F333)</f>
        <v>6</v>
      </c>
      <c r="E333" s="4" t="str">
        <f t="shared" si="5"/>
        <v>Thursday</v>
      </c>
      <c r="F333" s="3">
        <v>45022</v>
      </c>
      <c r="G333" s="4" t="s">
        <v>364</v>
      </c>
      <c r="H333" s="4" t="s">
        <v>8</v>
      </c>
      <c r="I333" s="4">
        <v>58</v>
      </c>
      <c r="J333" s="4" t="str" cm="1">
        <f t="array" ref="J333">_xlfn.IFS(I333&lt;30,"Young Adult", I333&lt;50,"Adult",I333 &gt;=50,"Seniors")</f>
        <v>Seniors</v>
      </c>
      <c r="K333" s="4" t="s">
        <v>4</v>
      </c>
      <c r="L333" s="4">
        <v>4</v>
      </c>
      <c r="M333" s="5">
        <v>300</v>
      </c>
      <c r="N333">
        <f>L333*M333</f>
        <v>1200</v>
      </c>
      <c r="O333" s="15">
        <f>N333*$R$3</f>
        <v>18</v>
      </c>
    </row>
    <row r="334" spans="1:15">
      <c r="A334" s="2">
        <v>333</v>
      </c>
      <c r="B334" s="4">
        <f>YEAR(F334)</f>
        <v>2023</v>
      </c>
      <c r="C334" s="4">
        <f>MONTH(F334)</f>
        <v>2</v>
      </c>
      <c r="D334" s="4">
        <f>DAY(F334)</f>
        <v>5</v>
      </c>
      <c r="E334" s="4" t="str">
        <f t="shared" si="5"/>
        <v>Sunday</v>
      </c>
      <c r="F334" s="3">
        <v>44962</v>
      </c>
      <c r="G334" s="4" t="s">
        <v>365</v>
      </c>
      <c r="H334" s="4" t="s">
        <v>7</v>
      </c>
      <c r="I334" s="4">
        <v>54</v>
      </c>
      <c r="J334" s="4" t="str" cm="1">
        <f t="array" ref="J334">_xlfn.IFS(I334&lt;30,"Young Adult", I334&lt;50,"Adult",I334 &gt;=50,"Seniors")</f>
        <v>Seniors</v>
      </c>
      <c r="K334" s="4" t="s">
        <v>4</v>
      </c>
      <c r="L334" s="4">
        <v>4</v>
      </c>
      <c r="M334" s="5">
        <v>300</v>
      </c>
      <c r="N334">
        <f>L334*M334</f>
        <v>1200</v>
      </c>
      <c r="O334" s="15">
        <f>N334*$R$3</f>
        <v>18</v>
      </c>
    </row>
    <row r="335" spans="1:15">
      <c r="A335" s="2">
        <v>334</v>
      </c>
      <c r="B335" s="4">
        <f>YEAR(F335)</f>
        <v>2023</v>
      </c>
      <c r="C335" s="4">
        <f>MONTH(F335)</f>
        <v>11</v>
      </c>
      <c r="D335" s="4">
        <f>DAY(F335)</f>
        <v>1</v>
      </c>
      <c r="E335" s="4" t="str">
        <f t="shared" si="5"/>
        <v>Wednesday</v>
      </c>
      <c r="F335" s="3">
        <v>45231</v>
      </c>
      <c r="G335" s="4" t="s">
        <v>366</v>
      </c>
      <c r="H335" s="4" t="s">
        <v>8</v>
      </c>
      <c r="I335" s="4">
        <v>31</v>
      </c>
      <c r="J335" s="4" t="str" cm="1">
        <f t="array" ref="J335">_xlfn.IFS(I335&lt;30,"Young Adult", I335&lt;50,"Adult",I335 &gt;=50,"Seniors")</f>
        <v>Adult</v>
      </c>
      <c r="K335" s="4" t="s">
        <v>4</v>
      </c>
      <c r="L335" s="4">
        <v>3</v>
      </c>
      <c r="M335" s="5">
        <v>300</v>
      </c>
      <c r="N335">
        <f>L335*M335</f>
        <v>900</v>
      </c>
      <c r="O335" s="15">
        <f>N335*$R$3</f>
        <v>13.5</v>
      </c>
    </row>
    <row r="336" spans="1:15">
      <c r="A336" s="2">
        <v>335</v>
      </c>
      <c r="B336" s="4">
        <f>YEAR(F336)</f>
        <v>2023</v>
      </c>
      <c r="C336" s="4">
        <f>MONTH(F336)</f>
        <v>2</v>
      </c>
      <c r="D336" s="4">
        <f>DAY(F336)</f>
        <v>4</v>
      </c>
      <c r="E336" s="4" t="str">
        <f t="shared" si="5"/>
        <v>Saturday</v>
      </c>
      <c r="F336" s="3">
        <v>44961</v>
      </c>
      <c r="G336" s="4" t="s">
        <v>367</v>
      </c>
      <c r="H336" s="4" t="s">
        <v>7</v>
      </c>
      <c r="I336" s="4">
        <v>47</v>
      </c>
      <c r="J336" s="4" t="str" cm="1">
        <f t="array" ref="J336">_xlfn.IFS(I336&lt;30,"Young Adult", I336&lt;50,"Adult",I336 &gt;=50,"Seniors")</f>
        <v>Adult</v>
      </c>
      <c r="K336" s="4" t="s">
        <v>2</v>
      </c>
      <c r="L336" s="4">
        <v>4</v>
      </c>
      <c r="M336" s="5">
        <v>30</v>
      </c>
      <c r="N336">
        <f>L336*M336</f>
        <v>120</v>
      </c>
      <c r="O336" s="15">
        <f>N336*$R$3</f>
        <v>1.7999999999999998</v>
      </c>
    </row>
    <row r="337" spans="1:15">
      <c r="A337" s="2">
        <v>336</v>
      </c>
      <c r="B337" s="4">
        <f>YEAR(F337)</f>
        <v>2023</v>
      </c>
      <c r="C337" s="4">
        <f>MONTH(F337)</f>
        <v>12</v>
      </c>
      <c r="D337" s="4">
        <f>DAY(F337)</f>
        <v>12</v>
      </c>
      <c r="E337" s="4" t="str">
        <f t="shared" si="5"/>
        <v>Tuesday</v>
      </c>
      <c r="F337" s="3">
        <v>45272</v>
      </c>
      <c r="G337" s="4" t="s">
        <v>368</v>
      </c>
      <c r="H337" s="4" t="s">
        <v>7</v>
      </c>
      <c r="I337" s="4">
        <v>52</v>
      </c>
      <c r="J337" s="4" t="str" cm="1">
        <f t="array" ref="J337">_xlfn.IFS(I337&lt;30,"Young Adult", I337&lt;50,"Adult",I337 &gt;=50,"Seniors")</f>
        <v>Seniors</v>
      </c>
      <c r="K337" s="4" t="s">
        <v>2</v>
      </c>
      <c r="L337" s="4">
        <v>3</v>
      </c>
      <c r="M337" s="5">
        <v>50</v>
      </c>
      <c r="N337">
        <f>L337*M337</f>
        <v>150</v>
      </c>
      <c r="O337" s="15">
        <f>N337*$R$3</f>
        <v>2.25</v>
      </c>
    </row>
    <row r="338" spans="1:15">
      <c r="A338" s="2">
        <v>337</v>
      </c>
      <c r="B338" s="4">
        <f>YEAR(F338)</f>
        <v>2023</v>
      </c>
      <c r="C338" s="4">
        <f>MONTH(F338)</f>
        <v>5</v>
      </c>
      <c r="D338" s="4">
        <f>DAY(F338)</f>
        <v>1</v>
      </c>
      <c r="E338" s="4" t="str">
        <f t="shared" si="5"/>
        <v>Monday</v>
      </c>
      <c r="F338" s="3">
        <v>45047</v>
      </c>
      <c r="G338" s="4" t="s">
        <v>369</v>
      </c>
      <c r="H338" s="4" t="s">
        <v>8</v>
      </c>
      <c r="I338" s="4">
        <v>38</v>
      </c>
      <c r="J338" s="4" t="str" cm="1">
        <f t="array" ref="J338">_xlfn.IFS(I338&lt;30,"Young Adult", I338&lt;50,"Adult",I338 &gt;=50,"Seniors")</f>
        <v>Adult</v>
      </c>
      <c r="K338" s="4" t="s">
        <v>3</v>
      </c>
      <c r="L338" s="4">
        <v>1</v>
      </c>
      <c r="M338" s="5">
        <v>500</v>
      </c>
      <c r="N338">
        <f>L338*M338</f>
        <v>500</v>
      </c>
      <c r="O338" s="15">
        <f>N338*$R$3</f>
        <v>7.5</v>
      </c>
    </row>
    <row r="339" spans="1:15">
      <c r="A339" s="2">
        <v>338</v>
      </c>
      <c r="B339" s="4">
        <f>YEAR(F339)</f>
        <v>2023</v>
      </c>
      <c r="C339" s="4">
        <f>MONTH(F339)</f>
        <v>7</v>
      </c>
      <c r="D339" s="4">
        <f>DAY(F339)</f>
        <v>26</v>
      </c>
      <c r="E339" s="4" t="str">
        <f t="shared" si="5"/>
        <v>Wednesday</v>
      </c>
      <c r="F339" s="3">
        <v>45133</v>
      </c>
      <c r="G339" s="4" t="s">
        <v>370</v>
      </c>
      <c r="H339" s="4" t="s">
        <v>8</v>
      </c>
      <c r="I339" s="4">
        <v>54</v>
      </c>
      <c r="J339" s="4" t="str" cm="1">
        <f t="array" ref="J339">_xlfn.IFS(I339&lt;30,"Young Adult", I339&lt;50,"Adult",I339 &gt;=50,"Seniors")</f>
        <v>Seniors</v>
      </c>
      <c r="K339" s="4" t="s">
        <v>2</v>
      </c>
      <c r="L339" s="4">
        <v>2</v>
      </c>
      <c r="M339" s="5">
        <v>50</v>
      </c>
      <c r="N339">
        <f>L339*M339</f>
        <v>100</v>
      </c>
      <c r="O339" s="15">
        <f>N339*$R$3</f>
        <v>1.5</v>
      </c>
    </row>
    <row r="340" spans="1:15">
      <c r="A340" s="2">
        <v>339</v>
      </c>
      <c r="B340" s="4">
        <f>YEAR(F340)</f>
        <v>2023</v>
      </c>
      <c r="C340" s="4">
        <f>MONTH(F340)</f>
        <v>3</v>
      </c>
      <c r="D340" s="4">
        <f>DAY(F340)</f>
        <v>3</v>
      </c>
      <c r="E340" s="4" t="str">
        <f t="shared" si="5"/>
        <v>Friday</v>
      </c>
      <c r="F340" s="3">
        <v>44988</v>
      </c>
      <c r="G340" s="4" t="s">
        <v>371</v>
      </c>
      <c r="H340" s="4" t="s">
        <v>7</v>
      </c>
      <c r="I340" s="4">
        <v>22</v>
      </c>
      <c r="J340" s="4" t="str" cm="1">
        <f t="array" ref="J340">_xlfn.IFS(I340&lt;30,"Young Adult", I340&lt;50,"Adult",I340 &gt;=50,"Seniors")</f>
        <v>Young Adult</v>
      </c>
      <c r="K340" s="4" t="s">
        <v>4</v>
      </c>
      <c r="L340" s="4">
        <v>2</v>
      </c>
      <c r="M340" s="5">
        <v>25</v>
      </c>
      <c r="N340">
        <f>L340*M340</f>
        <v>50</v>
      </c>
      <c r="O340" s="15">
        <f>N340*$R$3</f>
        <v>0.75</v>
      </c>
    </row>
    <row r="341" spans="1:15">
      <c r="A341" s="2">
        <v>340</v>
      </c>
      <c r="B341" s="4">
        <f>YEAR(F341)</f>
        <v>2023</v>
      </c>
      <c r="C341" s="4">
        <f>MONTH(F341)</f>
        <v>10</v>
      </c>
      <c r="D341" s="4">
        <f>DAY(F341)</f>
        <v>19</v>
      </c>
      <c r="E341" s="4" t="str">
        <f t="shared" si="5"/>
        <v>Thursday</v>
      </c>
      <c r="F341" s="3">
        <v>45218</v>
      </c>
      <c r="G341" s="4" t="s">
        <v>372</v>
      </c>
      <c r="H341" s="4" t="s">
        <v>7</v>
      </c>
      <c r="I341" s="4">
        <v>36</v>
      </c>
      <c r="J341" s="4" t="str" cm="1">
        <f t="array" ref="J341">_xlfn.IFS(I341&lt;30,"Young Adult", I341&lt;50,"Adult",I341 &gt;=50,"Seniors")</f>
        <v>Adult</v>
      </c>
      <c r="K341" s="4" t="s">
        <v>3</v>
      </c>
      <c r="L341" s="4">
        <v>4</v>
      </c>
      <c r="M341" s="5">
        <v>300</v>
      </c>
      <c r="N341">
        <f>L341*M341</f>
        <v>1200</v>
      </c>
      <c r="O341" s="15">
        <f>N341*$R$3</f>
        <v>18</v>
      </c>
    </row>
    <row r="342" spans="1:15">
      <c r="A342" s="2">
        <v>341</v>
      </c>
      <c r="B342" s="4">
        <f>YEAR(F342)</f>
        <v>2023</v>
      </c>
      <c r="C342" s="4">
        <f>MONTH(F342)</f>
        <v>5</v>
      </c>
      <c r="D342" s="4">
        <f>DAY(F342)</f>
        <v>7</v>
      </c>
      <c r="E342" s="4" t="str">
        <f t="shared" si="5"/>
        <v>Sunday</v>
      </c>
      <c r="F342" s="3">
        <v>45053</v>
      </c>
      <c r="G342" s="4" t="s">
        <v>373</v>
      </c>
      <c r="H342" s="4" t="s">
        <v>8</v>
      </c>
      <c r="I342" s="4">
        <v>31</v>
      </c>
      <c r="J342" s="4" t="str" cm="1">
        <f t="array" ref="J342">_xlfn.IFS(I342&lt;30,"Young Adult", I342&lt;50,"Adult",I342 &gt;=50,"Seniors")</f>
        <v>Adult</v>
      </c>
      <c r="K342" s="4" t="s">
        <v>3</v>
      </c>
      <c r="L342" s="4">
        <v>4</v>
      </c>
      <c r="M342" s="5">
        <v>50</v>
      </c>
      <c r="N342">
        <f>L342*M342</f>
        <v>200</v>
      </c>
      <c r="O342" s="15">
        <f>N342*$R$3</f>
        <v>3</v>
      </c>
    </row>
    <row r="343" spans="1:15">
      <c r="A343" s="2">
        <v>342</v>
      </c>
      <c r="B343" s="4">
        <f>YEAR(F343)</f>
        <v>2023</v>
      </c>
      <c r="C343" s="4">
        <f>MONTH(F343)</f>
        <v>10</v>
      </c>
      <c r="D343" s="4">
        <f>DAY(F343)</f>
        <v>24</v>
      </c>
      <c r="E343" s="4" t="str">
        <f t="shared" si="5"/>
        <v>Tuesday</v>
      </c>
      <c r="F343" s="3">
        <v>45223</v>
      </c>
      <c r="G343" s="4" t="s">
        <v>374</v>
      </c>
      <c r="H343" s="4" t="s">
        <v>7</v>
      </c>
      <c r="I343" s="4">
        <v>43</v>
      </c>
      <c r="J343" s="4" t="str" cm="1">
        <f t="array" ref="J343">_xlfn.IFS(I343&lt;30,"Young Adult", I343&lt;50,"Adult",I343 &gt;=50,"Seniors")</f>
        <v>Adult</v>
      </c>
      <c r="K343" s="4" t="s">
        <v>3</v>
      </c>
      <c r="L343" s="4">
        <v>4</v>
      </c>
      <c r="M343" s="5">
        <v>500</v>
      </c>
      <c r="N343">
        <f>L343*M343</f>
        <v>2000</v>
      </c>
      <c r="O343" s="15">
        <f>N343*$R$3</f>
        <v>30</v>
      </c>
    </row>
    <row r="344" spans="1:15">
      <c r="A344" s="2">
        <v>343</v>
      </c>
      <c r="B344" s="4">
        <f>YEAR(F344)</f>
        <v>2023</v>
      </c>
      <c r="C344" s="4">
        <f>MONTH(F344)</f>
        <v>11</v>
      </c>
      <c r="D344" s="4">
        <f>DAY(F344)</f>
        <v>1</v>
      </c>
      <c r="E344" s="4" t="str">
        <f t="shared" si="5"/>
        <v>Wednesday</v>
      </c>
      <c r="F344" s="3">
        <v>45231</v>
      </c>
      <c r="G344" s="4" t="s">
        <v>375</v>
      </c>
      <c r="H344" s="4" t="s">
        <v>8</v>
      </c>
      <c r="I344" s="4">
        <v>21</v>
      </c>
      <c r="J344" s="4" t="str" cm="1">
        <f t="array" ref="J344">_xlfn.IFS(I344&lt;30,"Young Adult", I344&lt;50,"Adult",I344 &gt;=50,"Seniors")</f>
        <v>Young Adult</v>
      </c>
      <c r="K344" s="4" t="s">
        <v>4</v>
      </c>
      <c r="L344" s="4">
        <v>2</v>
      </c>
      <c r="M344" s="5">
        <v>25</v>
      </c>
      <c r="N344">
        <f>L344*M344</f>
        <v>50</v>
      </c>
      <c r="O344" s="15">
        <f>N344*$R$3</f>
        <v>0.75</v>
      </c>
    </row>
    <row r="345" spans="1:15">
      <c r="A345" s="2">
        <v>344</v>
      </c>
      <c r="B345" s="4">
        <f>YEAR(F345)</f>
        <v>2023</v>
      </c>
      <c r="C345" s="4">
        <f>MONTH(F345)</f>
        <v>1</v>
      </c>
      <c r="D345" s="4">
        <f>DAY(F345)</f>
        <v>21</v>
      </c>
      <c r="E345" s="4" t="str">
        <f t="shared" si="5"/>
        <v>Saturday</v>
      </c>
      <c r="F345" s="3">
        <v>44947</v>
      </c>
      <c r="G345" s="4" t="s">
        <v>376</v>
      </c>
      <c r="H345" s="4" t="s">
        <v>7</v>
      </c>
      <c r="I345" s="4">
        <v>42</v>
      </c>
      <c r="J345" s="4" t="str" cm="1">
        <f t="array" ref="J345">_xlfn.IFS(I345&lt;30,"Young Adult", I345&lt;50,"Adult",I345 &gt;=50,"Seniors")</f>
        <v>Adult</v>
      </c>
      <c r="K345" s="4" t="s">
        <v>2</v>
      </c>
      <c r="L345" s="4">
        <v>1</v>
      </c>
      <c r="M345" s="5">
        <v>30</v>
      </c>
      <c r="N345">
        <f>L345*M345</f>
        <v>30</v>
      </c>
      <c r="O345" s="15">
        <f>N345*$R$3</f>
        <v>0.44999999999999996</v>
      </c>
    </row>
    <row r="346" spans="1:15">
      <c r="A346" s="2">
        <v>345</v>
      </c>
      <c r="B346" s="4">
        <f>YEAR(F346)</f>
        <v>2023</v>
      </c>
      <c r="C346" s="4">
        <f>MONTH(F346)</f>
        <v>11</v>
      </c>
      <c r="D346" s="4">
        <f>DAY(F346)</f>
        <v>14</v>
      </c>
      <c r="E346" s="4" t="str">
        <f t="shared" si="5"/>
        <v>Tuesday</v>
      </c>
      <c r="F346" s="3">
        <v>45244</v>
      </c>
      <c r="G346" s="4" t="s">
        <v>377</v>
      </c>
      <c r="H346" s="4" t="s">
        <v>8</v>
      </c>
      <c r="I346" s="4">
        <v>62</v>
      </c>
      <c r="J346" s="4" t="str" cm="1">
        <f t="array" ref="J346">_xlfn.IFS(I346&lt;30,"Young Adult", I346&lt;50,"Adult",I346 &gt;=50,"Seniors")</f>
        <v>Seniors</v>
      </c>
      <c r="K346" s="4" t="s">
        <v>4</v>
      </c>
      <c r="L346" s="4">
        <v>1</v>
      </c>
      <c r="M346" s="5">
        <v>30</v>
      </c>
      <c r="N346">
        <f>L346*M346</f>
        <v>30</v>
      </c>
      <c r="O346" s="15">
        <f>N346*$R$3</f>
        <v>0.44999999999999996</v>
      </c>
    </row>
    <row r="347" spans="1:15">
      <c r="A347" s="2">
        <v>346</v>
      </c>
      <c r="B347" s="4">
        <f>YEAR(F347)</f>
        <v>2023</v>
      </c>
      <c r="C347" s="4">
        <f>MONTH(F347)</f>
        <v>2</v>
      </c>
      <c r="D347" s="4">
        <f>DAY(F347)</f>
        <v>11</v>
      </c>
      <c r="E347" s="4" t="str">
        <f t="shared" si="5"/>
        <v>Saturday</v>
      </c>
      <c r="F347" s="3">
        <v>44968</v>
      </c>
      <c r="G347" s="4" t="s">
        <v>378</v>
      </c>
      <c r="H347" s="4" t="s">
        <v>8</v>
      </c>
      <c r="I347" s="4">
        <v>59</v>
      </c>
      <c r="J347" s="4" t="str" cm="1">
        <f t="array" ref="J347">_xlfn.IFS(I347&lt;30,"Young Adult", I347&lt;50,"Adult",I347 &gt;=50,"Seniors")</f>
        <v>Seniors</v>
      </c>
      <c r="K347" s="4" t="s">
        <v>3</v>
      </c>
      <c r="L347" s="4">
        <v>2</v>
      </c>
      <c r="M347" s="5">
        <v>500</v>
      </c>
      <c r="N347">
        <f>L347*M347</f>
        <v>1000</v>
      </c>
      <c r="O347" s="15">
        <f>N347*$R$3</f>
        <v>15</v>
      </c>
    </row>
    <row r="348" spans="1:15">
      <c r="A348" s="2">
        <v>347</v>
      </c>
      <c r="B348" s="4">
        <f>YEAR(F348)</f>
        <v>2023</v>
      </c>
      <c r="C348" s="4">
        <f>MONTH(F348)</f>
        <v>8</v>
      </c>
      <c r="D348" s="4">
        <f>DAY(F348)</f>
        <v>3</v>
      </c>
      <c r="E348" s="4" t="str">
        <f t="shared" si="5"/>
        <v>Thursday</v>
      </c>
      <c r="F348" s="3">
        <v>45141</v>
      </c>
      <c r="G348" s="4" t="s">
        <v>379</v>
      </c>
      <c r="H348" s="4" t="s">
        <v>8</v>
      </c>
      <c r="I348" s="4">
        <v>42</v>
      </c>
      <c r="J348" s="4" t="str" cm="1">
        <f t="array" ref="J348">_xlfn.IFS(I348&lt;30,"Young Adult", I348&lt;50,"Adult",I348 &gt;=50,"Seniors")</f>
        <v>Adult</v>
      </c>
      <c r="K348" s="4" t="s">
        <v>4</v>
      </c>
      <c r="L348" s="4">
        <v>1</v>
      </c>
      <c r="M348" s="5">
        <v>25</v>
      </c>
      <c r="N348">
        <f>L348*M348</f>
        <v>25</v>
      </c>
      <c r="O348" s="15">
        <f>N348*$R$3</f>
        <v>0.375</v>
      </c>
    </row>
    <row r="349" spans="1:15">
      <c r="A349" s="2">
        <v>348</v>
      </c>
      <c r="B349" s="4">
        <f>YEAR(F349)</f>
        <v>2023</v>
      </c>
      <c r="C349" s="4">
        <f>MONTH(F349)</f>
        <v>12</v>
      </c>
      <c r="D349" s="4">
        <f>DAY(F349)</f>
        <v>3</v>
      </c>
      <c r="E349" s="4" t="str">
        <f t="shared" si="5"/>
        <v>Sunday</v>
      </c>
      <c r="F349" s="3">
        <v>45263</v>
      </c>
      <c r="G349" s="4" t="s">
        <v>380</v>
      </c>
      <c r="H349" s="4" t="s">
        <v>7</v>
      </c>
      <c r="I349" s="4">
        <v>35</v>
      </c>
      <c r="J349" s="4" t="str" cm="1">
        <f t="array" ref="J349">_xlfn.IFS(I349&lt;30,"Young Adult", I349&lt;50,"Adult",I349 &gt;=50,"Seniors")</f>
        <v>Adult</v>
      </c>
      <c r="K349" s="4" t="s">
        <v>4</v>
      </c>
      <c r="L349" s="4">
        <v>2</v>
      </c>
      <c r="M349" s="5">
        <v>300</v>
      </c>
      <c r="N349">
        <f>L349*M349</f>
        <v>600</v>
      </c>
      <c r="O349" s="15">
        <f>N349*$R$3</f>
        <v>9</v>
      </c>
    </row>
    <row r="350" spans="1:15">
      <c r="A350" s="2">
        <v>349</v>
      </c>
      <c r="B350" s="4">
        <f>YEAR(F350)</f>
        <v>2023</v>
      </c>
      <c r="C350" s="4">
        <f>MONTH(F350)</f>
        <v>10</v>
      </c>
      <c r="D350" s="4">
        <f>DAY(F350)</f>
        <v>26</v>
      </c>
      <c r="E350" s="4" t="str">
        <f t="shared" si="5"/>
        <v>Thursday</v>
      </c>
      <c r="F350" s="3">
        <v>45225</v>
      </c>
      <c r="G350" s="4" t="s">
        <v>381</v>
      </c>
      <c r="H350" s="4" t="s">
        <v>7</v>
      </c>
      <c r="I350" s="4">
        <v>57</v>
      </c>
      <c r="J350" s="4" t="str" cm="1">
        <f t="array" ref="J350">_xlfn.IFS(I350&lt;30,"Young Adult", I350&lt;50,"Adult",I350 &gt;=50,"Seniors")</f>
        <v>Seniors</v>
      </c>
      <c r="K350" s="4" t="s">
        <v>2</v>
      </c>
      <c r="L350" s="4">
        <v>1</v>
      </c>
      <c r="M350" s="5">
        <v>50</v>
      </c>
      <c r="N350">
        <f>L350*M350</f>
        <v>50</v>
      </c>
      <c r="O350" s="15">
        <f>N350*$R$3</f>
        <v>0.75</v>
      </c>
    </row>
    <row r="351" spans="1:15">
      <c r="A351" s="2">
        <v>350</v>
      </c>
      <c r="B351" s="4">
        <f>YEAR(F351)</f>
        <v>2023</v>
      </c>
      <c r="C351" s="4">
        <f>MONTH(F351)</f>
        <v>10</v>
      </c>
      <c r="D351" s="4">
        <f>DAY(F351)</f>
        <v>17</v>
      </c>
      <c r="E351" s="4" t="str">
        <f t="shared" si="5"/>
        <v>Tuesday</v>
      </c>
      <c r="F351" s="3">
        <v>45216</v>
      </c>
      <c r="G351" s="4" t="s">
        <v>382</v>
      </c>
      <c r="H351" s="4" t="s">
        <v>8</v>
      </c>
      <c r="I351" s="4">
        <v>25</v>
      </c>
      <c r="J351" s="4" t="str" cm="1">
        <f t="array" ref="J351">_xlfn.IFS(I351&lt;30,"Young Adult", I351&lt;50,"Adult",I351 &gt;=50,"Seniors")</f>
        <v>Young Adult</v>
      </c>
      <c r="K351" s="4" t="s">
        <v>2</v>
      </c>
      <c r="L351" s="4">
        <v>3</v>
      </c>
      <c r="M351" s="5">
        <v>25</v>
      </c>
      <c r="N351">
        <f>L351*M351</f>
        <v>75</v>
      </c>
      <c r="O351" s="15">
        <f>N351*$R$3</f>
        <v>1.125</v>
      </c>
    </row>
    <row r="352" spans="1:15">
      <c r="A352" s="2">
        <v>351</v>
      </c>
      <c r="B352" s="4">
        <f>YEAR(F352)</f>
        <v>2023</v>
      </c>
      <c r="C352" s="4">
        <f>MONTH(F352)</f>
        <v>9</v>
      </c>
      <c r="D352" s="4">
        <f>DAY(F352)</f>
        <v>25</v>
      </c>
      <c r="E352" s="4" t="str">
        <f t="shared" si="5"/>
        <v>Monday</v>
      </c>
      <c r="F352" s="3">
        <v>45194</v>
      </c>
      <c r="G352" s="4" t="s">
        <v>383</v>
      </c>
      <c r="H352" s="4" t="s">
        <v>7</v>
      </c>
      <c r="I352" s="4">
        <v>56</v>
      </c>
      <c r="J352" s="4" t="str" cm="1">
        <f t="array" ref="J352">_xlfn.IFS(I352&lt;30,"Young Adult", I352&lt;50,"Adult",I352 &gt;=50,"Seniors")</f>
        <v>Seniors</v>
      </c>
      <c r="K352" s="4" t="s">
        <v>3</v>
      </c>
      <c r="L352" s="4">
        <v>3</v>
      </c>
      <c r="M352" s="5">
        <v>30</v>
      </c>
      <c r="N352">
        <f>L352*M352</f>
        <v>90</v>
      </c>
      <c r="O352" s="15">
        <f>N352*$R$3</f>
        <v>1.3499999999999999</v>
      </c>
    </row>
    <row r="353" spans="1:15">
      <c r="A353" s="2">
        <v>352</v>
      </c>
      <c r="B353" s="4">
        <f>YEAR(F353)</f>
        <v>2023</v>
      </c>
      <c r="C353" s="4">
        <f>MONTH(F353)</f>
        <v>6</v>
      </c>
      <c r="D353" s="4">
        <f>DAY(F353)</f>
        <v>11</v>
      </c>
      <c r="E353" s="4" t="str">
        <f t="shared" si="5"/>
        <v>Sunday</v>
      </c>
      <c r="F353" s="3">
        <v>45088</v>
      </c>
      <c r="G353" s="4" t="s">
        <v>384</v>
      </c>
      <c r="H353" s="4" t="s">
        <v>8</v>
      </c>
      <c r="I353" s="4">
        <v>57</v>
      </c>
      <c r="J353" s="4" t="str" cm="1">
        <f t="array" ref="J353">_xlfn.IFS(I353&lt;30,"Young Adult", I353&lt;50,"Adult",I353 &gt;=50,"Seniors")</f>
        <v>Seniors</v>
      </c>
      <c r="K353" s="4" t="s">
        <v>4</v>
      </c>
      <c r="L353" s="4">
        <v>2</v>
      </c>
      <c r="M353" s="5">
        <v>500</v>
      </c>
      <c r="N353">
        <f>L353*M353</f>
        <v>1000</v>
      </c>
      <c r="O353" s="15">
        <f>N353*$R$3</f>
        <v>15</v>
      </c>
    </row>
    <row r="354" spans="1:15">
      <c r="A354" s="2">
        <v>353</v>
      </c>
      <c r="B354" s="4">
        <f>YEAR(F354)</f>
        <v>2023</v>
      </c>
      <c r="C354" s="4">
        <f>MONTH(F354)</f>
        <v>5</v>
      </c>
      <c r="D354" s="4">
        <f>DAY(F354)</f>
        <v>14</v>
      </c>
      <c r="E354" s="4" t="str">
        <f t="shared" si="5"/>
        <v>Sunday</v>
      </c>
      <c r="F354" s="3">
        <v>45060</v>
      </c>
      <c r="G354" s="4" t="s">
        <v>385</v>
      </c>
      <c r="H354" s="4" t="s">
        <v>8</v>
      </c>
      <c r="I354" s="4">
        <v>31</v>
      </c>
      <c r="J354" s="4" t="str" cm="1">
        <f t="array" ref="J354">_xlfn.IFS(I354&lt;30,"Young Adult", I354&lt;50,"Adult",I354 &gt;=50,"Seniors")</f>
        <v>Adult</v>
      </c>
      <c r="K354" s="4" t="s">
        <v>4</v>
      </c>
      <c r="L354" s="4">
        <v>1</v>
      </c>
      <c r="M354" s="5">
        <v>500</v>
      </c>
      <c r="N354">
        <f>L354*M354</f>
        <v>500</v>
      </c>
      <c r="O354" s="15">
        <f>N354*$R$3</f>
        <v>7.5</v>
      </c>
    </row>
    <row r="355" spans="1:15">
      <c r="A355" s="2">
        <v>354</v>
      </c>
      <c r="B355" s="4">
        <f>YEAR(F355)</f>
        <v>2023</v>
      </c>
      <c r="C355" s="4">
        <f>MONTH(F355)</f>
        <v>4</v>
      </c>
      <c r="D355" s="4">
        <f>DAY(F355)</f>
        <v>15</v>
      </c>
      <c r="E355" s="4" t="str">
        <f t="shared" si="5"/>
        <v>Saturday</v>
      </c>
      <c r="F355" s="3">
        <v>45031</v>
      </c>
      <c r="G355" s="4" t="s">
        <v>386</v>
      </c>
      <c r="H355" s="4" t="s">
        <v>7</v>
      </c>
      <c r="I355" s="4">
        <v>49</v>
      </c>
      <c r="J355" s="4" t="str" cm="1">
        <f t="array" ref="J355">_xlfn.IFS(I355&lt;30,"Young Adult", I355&lt;50,"Adult",I355 &gt;=50,"Seniors")</f>
        <v>Adult</v>
      </c>
      <c r="K355" s="4" t="s">
        <v>2</v>
      </c>
      <c r="L355" s="4">
        <v>4</v>
      </c>
      <c r="M355" s="5">
        <v>50</v>
      </c>
      <c r="N355">
        <f>L355*M355</f>
        <v>200</v>
      </c>
      <c r="O355" s="15">
        <f>N355*$R$3</f>
        <v>3</v>
      </c>
    </row>
    <row r="356" spans="1:15">
      <c r="A356" s="2">
        <v>355</v>
      </c>
      <c r="B356" s="4">
        <f>YEAR(F356)</f>
        <v>2023</v>
      </c>
      <c r="C356" s="4">
        <f>MONTH(F356)</f>
        <v>12</v>
      </c>
      <c r="D356" s="4">
        <f>DAY(F356)</f>
        <v>9</v>
      </c>
      <c r="E356" s="4" t="str">
        <f t="shared" si="5"/>
        <v>Saturday</v>
      </c>
      <c r="F356" s="3">
        <v>45269</v>
      </c>
      <c r="G356" s="4" t="s">
        <v>387</v>
      </c>
      <c r="H356" s="4" t="s">
        <v>7</v>
      </c>
      <c r="I356" s="4">
        <v>55</v>
      </c>
      <c r="J356" s="4" t="str" cm="1">
        <f t="array" ref="J356">_xlfn.IFS(I356&lt;30,"Young Adult", I356&lt;50,"Adult",I356 &gt;=50,"Seniors")</f>
        <v>Seniors</v>
      </c>
      <c r="K356" s="4" t="s">
        <v>4</v>
      </c>
      <c r="L356" s="4">
        <v>1</v>
      </c>
      <c r="M356" s="5">
        <v>500</v>
      </c>
      <c r="N356">
        <f>L356*M356</f>
        <v>500</v>
      </c>
      <c r="O356" s="15">
        <f>N356*$R$3</f>
        <v>7.5</v>
      </c>
    </row>
    <row r="357" spans="1:15">
      <c r="A357" s="2">
        <v>356</v>
      </c>
      <c r="B357" s="4">
        <f>YEAR(F357)</f>
        <v>2023</v>
      </c>
      <c r="C357" s="4">
        <f>MONTH(F357)</f>
        <v>6</v>
      </c>
      <c r="D357" s="4">
        <f>DAY(F357)</f>
        <v>10</v>
      </c>
      <c r="E357" s="4" t="str">
        <f t="shared" si="5"/>
        <v>Saturday</v>
      </c>
      <c r="F357" s="3">
        <v>45087</v>
      </c>
      <c r="G357" s="4" t="s">
        <v>388</v>
      </c>
      <c r="H357" s="4" t="s">
        <v>8</v>
      </c>
      <c r="I357" s="4">
        <v>50</v>
      </c>
      <c r="J357" s="4" t="str" cm="1">
        <f t="array" ref="J357">_xlfn.IFS(I357&lt;30,"Young Adult", I357&lt;50,"Adult",I357 &gt;=50,"Seniors")</f>
        <v>Seniors</v>
      </c>
      <c r="K357" s="4" t="s">
        <v>4</v>
      </c>
      <c r="L357" s="4">
        <v>3</v>
      </c>
      <c r="M357" s="5">
        <v>500</v>
      </c>
      <c r="N357">
        <f>L357*M357</f>
        <v>1500</v>
      </c>
      <c r="O357" s="15">
        <f>N357*$R$3</f>
        <v>22.5</v>
      </c>
    </row>
    <row r="358" spans="1:15">
      <c r="A358" s="2">
        <v>357</v>
      </c>
      <c r="B358" s="4">
        <f>YEAR(F358)</f>
        <v>2023</v>
      </c>
      <c r="C358" s="4">
        <f>MONTH(F358)</f>
        <v>5</v>
      </c>
      <c r="D358" s="4">
        <f>DAY(F358)</f>
        <v>3</v>
      </c>
      <c r="E358" s="4" t="str">
        <f t="shared" si="5"/>
        <v>Wednesday</v>
      </c>
      <c r="F358" s="3">
        <v>45049</v>
      </c>
      <c r="G358" s="4" t="s">
        <v>389</v>
      </c>
      <c r="H358" s="4" t="s">
        <v>7</v>
      </c>
      <c r="I358" s="4">
        <v>40</v>
      </c>
      <c r="J358" s="4" t="str" cm="1">
        <f t="array" ref="J358">_xlfn.IFS(I358&lt;30,"Young Adult", I358&lt;50,"Adult",I358 &gt;=50,"Seniors")</f>
        <v>Adult</v>
      </c>
      <c r="K358" s="4" t="s">
        <v>4</v>
      </c>
      <c r="L358" s="4">
        <v>3</v>
      </c>
      <c r="M358" s="5">
        <v>25</v>
      </c>
      <c r="N358">
        <f>L358*M358</f>
        <v>75</v>
      </c>
      <c r="O358" s="15">
        <f>N358*$R$3</f>
        <v>1.125</v>
      </c>
    </row>
    <row r="359" spans="1:15">
      <c r="A359" s="2">
        <v>358</v>
      </c>
      <c r="B359" s="4">
        <f>YEAR(F359)</f>
        <v>2023</v>
      </c>
      <c r="C359" s="4">
        <f>MONTH(F359)</f>
        <v>5</v>
      </c>
      <c r="D359" s="4">
        <f>DAY(F359)</f>
        <v>16</v>
      </c>
      <c r="E359" s="4" t="str">
        <f t="shared" si="5"/>
        <v>Tuesday</v>
      </c>
      <c r="F359" s="3">
        <v>45062</v>
      </c>
      <c r="G359" s="4" t="s">
        <v>390</v>
      </c>
      <c r="H359" s="4" t="s">
        <v>7</v>
      </c>
      <c r="I359" s="4">
        <v>32</v>
      </c>
      <c r="J359" s="4" t="str" cm="1">
        <f t="array" ref="J359">_xlfn.IFS(I359&lt;30,"Young Adult", I359&lt;50,"Adult",I359 &gt;=50,"Seniors")</f>
        <v>Adult</v>
      </c>
      <c r="K359" s="4" t="s">
        <v>2</v>
      </c>
      <c r="L359" s="4">
        <v>1</v>
      </c>
      <c r="M359" s="5">
        <v>300</v>
      </c>
      <c r="N359">
        <f>L359*M359</f>
        <v>300</v>
      </c>
      <c r="O359" s="15">
        <f>N359*$R$3</f>
        <v>4.5</v>
      </c>
    </row>
    <row r="360" spans="1:15">
      <c r="A360" s="2">
        <v>359</v>
      </c>
      <c r="B360" s="4">
        <f>YEAR(F360)</f>
        <v>2023</v>
      </c>
      <c r="C360" s="4">
        <f>MONTH(F360)</f>
        <v>7</v>
      </c>
      <c r="D360" s="4">
        <f>DAY(F360)</f>
        <v>22</v>
      </c>
      <c r="E360" s="4" t="str">
        <f t="shared" si="5"/>
        <v>Saturday</v>
      </c>
      <c r="F360" s="3">
        <v>45129</v>
      </c>
      <c r="G360" s="4" t="s">
        <v>391</v>
      </c>
      <c r="H360" s="4" t="s">
        <v>8</v>
      </c>
      <c r="I360" s="4">
        <v>50</v>
      </c>
      <c r="J360" s="4" t="str" cm="1">
        <f t="array" ref="J360">_xlfn.IFS(I360&lt;30,"Young Adult", I360&lt;50,"Adult",I360 &gt;=50,"Seniors")</f>
        <v>Seniors</v>
      </c>
      <c r="K360" s="4" t="s">
        <v>3</v>
      </c>
      <c r="L360" s="4">
        <v>1</v>
      </c>
      <c r="M360" s="5">
        <v>50</v>
      </c>
      <c r="N360">
        <f>L360*M360</f>
        <v>50</v>
      </c>
      <c r="O360" s="15">
        <f>N360*$R$3</f>
        <v>0.75</v>
      </c>
    </row>
    <row r="361" spans="1:15">
      <c r="A361" s="2">
        <v>360</v>
      </c>
      <c r="B361" s="4">
        <f>YEAR(F361)</f>
        <v>2023</v>
      </c>
      <c r="C361" s="4">
        <f>MONTH(F361)</f>
        <v>3</v>
      </c>
      <c r="D361" s="4">
        <f>DAY(F361)</f>
        <v>9</v>
      </c>
      <c r="E361" s="4" t="str">
        <f t="shared" si="5"/>
        <v>Thursday</v>
      </c>
      <c r="F361" s="3">
        <v>44994</v>
      </c>
      <c r="G361" s="4" t="s">
        <v>392</v>
      </c>
      <c r="H361" s="4" t="s">
        <v>8</v>
      </c>
      <c r="I361" s="4">
        <v>42</v>
      </c>
      <c r="J361" s="4" t="str" cm="1">
        <f t="array" ref="J361">_xlfn.IFS(I361&lt;30,"Young Adult", I361&lt;50,"Adult",I361 &gt;=50,"Seniors")</f>
        <v>Adult</v>
      </c>
      <c r="K361" s="4" t="s">
        <v>3</v>
      </c>
      <c r="L361" s="4">
        <v>4</v>
      </c>
      <c r="M361" s="5">
        <v>25</v>
      </c>
      <c r="N361">
        <f>L361*M361</f>
        <v>100</v>
      </c>
      <c r="O361" s="15">
        <f>N361*$R$3</f>
        <v>1.5</v>
      </c>
    </row>
    <row r="362" spans="1:15">
      <c r="A362" s="2">
        <v>361</v>
      </c>
      <c r="B362" s="4">
        <f>YEAR(F362)</f>
        <v>2023</v>
      </c>
      <c r="C362" s="4">
        <f>MONTH(F362)</f>
        <v>12</v>
      </c>
      <c r="D362" s="4">
        <f>DAY(F362)</f>
        <v>10</v>
      </c>
      <c r="E362" s="4" t="str">
        <f t="shared" si="5"/>
        <v>Sunday</v>
      </c>
      <c r="F362" s="3">
        <v>45270</v>
      </c>
      <c r="G362" s="4" t="s">
        <v>393</v>
      </c>
      <c r="H362" s="4" t="s">
        <v>7</v>
      </c>
      <c r="I362" s="4">
        <v>34</v>
      </c>
      <c r="J362" s="4" t="str" cm="1">
        <f t="array" ref="J362">_xlfn.IFS(I362&lt;30,"Young Adult", I362&lt;50,"Adult",I362 &gt;=50,"Seniors")</f>
        <v>Adult</v>
      </c>
      <c r="K362" s="4" t="s">
        <v>4</v>
      </c>
      <c r="L362" s="4">
        <v>4</v>
      </c>
      <c r="M362" s="5">
        <v>300</v>
      </c>
      <c r="N362">
        <f>L362*M362</f>
        <v>1200</v>
      </c>
      <c r="O362" s="15">
        <f>N362*$R$3</f>
        <v>18</v>
      </c>
    </row>
    <row r="363" spans="1:15">
      <c r="A363" s="2">
        <v>362</v>
      </c>
      <c r="B363" s="4">
        <f>YEAR(F363)</f>
        <v>2023</v>
      </c>
      <c r="C363" s="4">
        <f>MONTH(F363)</f>
        <v>11</v>
      </c>
      <c r="D363" s="4">
        <f>DAY(F363)</f>
        <v>27</v>
      </c>
      <c r="E363" s="4" t="str">
        <f t="shared" si="5"/>
        <v>Monday</v>
      </c>
      <c r="F363" s="3">
        <v>45257</v>
      </c>
      <c r="G363" s="4" t="s">
        <v>394</v>
      </c>
      <c r="H363" s="4" t="s">
        <v>8</v>
      </c>
      <c r="I363" s="4">
        <v>50</v>
      </c>
      <c r="J363" s="4" t="str" cm="1">
        <f t="array" ref="J363">_xlfn.IFS(I363&lt;30,"Young Adult", I363&lt;50,"Adult",I363 &gt;=50,"Seniors")</f>
        <v>Seniors</v>
      </c>
      <c r="K363" s="4" t="s">
        <v>3</v>
      </c>
      <c r="L363" s="4">
        <v>1</v>
      </c>
      <c r="M363" s="5">
        <v>25</v>
      </c>
      <c r="N363">
        <f>L363*M363</f>
        <v>25</v>
      </c>
      <c r="O363" s="15">
        <f>N363*$R$3</f>
        <v>0.375</v>
      </c>
    </row>
    <row r="364" spans="1:15">
      <c r="A364" s="2">
        <v>363</v>
      </c>
      <c r="B364" s="4">
        <f>YEAR(F364)</f>
        <v>2023</v>
      </c>
      <c r="C364" s="4">
        <f>MONTH(F364)</f>
        <v>6</v>
      </c>
      <c r="D364" s="4">
        <f>DAY(F364)</f>
        <v>3</v>
      </c>
      <c r="E364" s="4" t="str">
        <f t="shared" si="5"/>
        <v>Saturday</v>
      </c>
      <c r="F364" s="3">
        <v>45080</v>
      </c>
      <c r="G364" s="4" t="s">
        <v>395</v>
      </c>
      <c r="H364" s="4" t="s">
        <v>8</v>
      </c>
      <c r="I364" s="4">
        <v>64</v>
      </c>
      <c r="J364" s="4" t="str" cm="1">
        <f t="array" ref="J364">_xlfn.IFS(I364&lt;30,"Young Adult", I364&lt;50,"Adult",I364 &gt;=50,"Seniors")</f>
        <v>Seniors</v>
      </c>
      <c r="K364" s="4" t="s">
        <v>2</v>
      </c>
      <c r="L364" s="4">
        <v>1</v>
      </c>
      <c r="M364" s="5">
        <v>25</v>
      </c>
      <c r="N364">
        <f>L364*M364</f>
        <v>25</v>
      </c>
      <c r="O364" s="15">
        <f>N364*$R$3</f>
        <v>0.375</v>
      </c>
    </row>
    <row r="365" spans="1:15">
      <c r="A365" s="2">
        <v>364</v>
      </c>
      <c r="B365" s="4">
        <f>YEAR(F365)</f>
        <v>2023</v>
      </c>
      <c r="C365" s="4">
        <f>MONTH(F365)</f>
        <v>8</v>
      </c>
      <c r="D365" s="4">
        <f>DAY(F365)</f>
        <v>23</v>
      </c>
      <c r="E365" s="4" t="str">
        <f t="shared" si="5"/>
        <v>Wednesday</v>
      </c>
      <c r="F365" s="3">
        <v>45161</v>
      </c>
      <c r="G365" s="4" t="s">
        <v>396</v>
      </c>
      <c r="H365" s="4" t="s">
        <v>7</v>
      </c>
      <c r="I365" s="4">
        <v>19</v>
      </c>
      <c r="J365" s="4" t="str" cm="1">
        <f t="array" ref="J365">_xlfn.IFS(I365&lt;30,"Young Adult", I365&lt;50,"Adult",I365 &gt;=50,"Seniors")</f>
        <v>Young Adult</v>
      </c>
      <c r="K365" s="4" t="s">
        <v>2</v>
      </c>
      <c r="L365" s="4">
        <v>1</v>
      </c>
      <c r="M365" s="5">
        <v>500</v>
      </c>
      <c r="N365">
        <f>L365*M365</f>
        <v>500</v>
      </c>
      <c r="O365" s="15">
        <f>N365*$R$3</f>
        <v>7.5</v>
      </c>
    </row>
    <row r="366" spans="1:15">
      <c r="A366" s="2">
        <v>365</v>
      </c>
      <c r="B366" s="4">
        <f>YEAR(F366)</f>
        <v>2023</v>
      </c>
      <c r="C366" s="4">
        <f>MONTH(F366)</f>
        <v>6</v>
      </c>
      <c r="D366" s="4">
        <f>DAY(F366)</f>
        <v>11</v>
      </c>
      <c r="E366" s="4" t="str">
        <f t="shared" si="5"/>
        <v>Sunday</v>
      </c>
      <c r="F366" s="3">
        <v>45088</v>
      </c>
      <c r="G366" s="4" t="s">
        <v>397</v>
      </c>
      <c r="H366" s="4" t="s">
        <v>8</v>
      </c>
      <c r="I366" s="4">
        <v>31</v>
      </c>
      <c r="J366" s="4" t="str" cm="1">
        <f t="array" ref="J366">_xlfn.IFS(I366&lt;30,"Young Adult", I366&lt;50,"Adult",I366 &gt;=50,"Seniors")</f>
        <v>Adult</v>
      </c>
      <c r="K366" s="4" t="s">
        <v>3</v>
      </c>
      <c r="L366" s="4">
        <v>1</v>
      </c>
      <c r="M366" s="5">
        <v>300</v>
      </c>
      <c r="N366">
        <f>L366*M366</f>
        <v>300</v>
      </c>
      <c r="O366" s="15">
        <f>N366*$R$3</f>
        <v>4.5</v>
      </c>
    </row>
    <row r="367" spans="1:15">
      <c r="A367" s="2">
        <v>366</v>
      </c>
      <c r="B367" s="4">
        <f>YEAR(F367)</f>
        <v>2023</v>
      </c>
      <c r="C367" s="4">
        <f>MONTH(F367)</f>
        <v>2</v>
      </c>
      <c r="D367" s="4">
        <f>DAY(F367)</f>
        <v>7</v>
      </c>
      <c r="E367" s="4" t="str">
        <f t="shared" si="5"/>
        <v>Tuesday</v>
      </c>
      <c r="F367" s="3">
        <v>44964</v>
      </c>
      <c r="G367" s="4" t="s">
        <v>398</v>
      </c>
      <c r="H367" s="4" t="s">
        <v>8</v>
      </c>
      <c r="I367" s="4">
        <v>57</v>
      </c>
      <c r="J367" s="4" t="str" cm="1">
        <f t="array" ref="J367">_xlfn.IFS(I367&lt;30,"Young Adult", I367&lt;50,"Adult",I367 &gt;=50,"Seniors")</f>
        <v>Seniors</v>
      </c>
      <c r="K367" s="4" t="s">
        <v>3</v>
      </c>
      <c r="L367" s="4">
        <v>2</v>
      </c>
      <c r="M367" s="5">
        <v>50</v>
      </c>
      <c r="N367">
        <f>L367*M367</f>
        <v>100</v>
      </c>
      <c r="O367" s="15">
        <f>N367*$R$3</f>
        <v>1.5</v>
      </c>
    </row>
    <row r="368" spans="1:15">
      <c r="A368" s="2">
        <v>367</v>
      </c>
      <c r="B368" s="4">
        <f>YEAR(F368)</f>
        <v>2023</v>
      </c>
      <c r="C368" s="4">
        <f>MONTH(F368)</f>
        <v>1</v>
      </c>
      <c r="D368" s="4">
        <f>DAY(F368)</f>
        <v>5</v>
      </c>
      <c r="E368" s="4" t="str">
        <f t="shared" si="5"/>
        <v>Thursday</v>
      </c>
      <c r="F368" s="3">
        <v>44931</v>
      </c>
      <c r="G368" s="4" t="s">
        <v>399</v>
      </c>
      <c r="H368" s="4" t="s">
        <v>7</v>
      </c>
      <c r="I368" s="4">
        <v>57</v>
      </c>
      <c r="J368" s="4" t="str" cm="1">
        <f t="array" ref="J368">_xlfn.IFS(I368&lt;30,"Young Adult", I368&lt;50,"Adult",I368 &gt;=50,"Seniors")</f>
        <v>Seniors</v>
      </c>
      <c r="K368" s="4" t="s">
        <v>4</v>
      </c>
      <c r="L368" s="4">
        <v>1</v>
      </c>
      <c r="M368" s="5">
        <v>50</v>
      </c>
      <c r="N368">
        <f>L368*M368</f>
        <v>50</v>
      </c>
      <c r="O368" s="15">
        <f>N368*$R$3</f>
        <v>0.75</v>
      </c>
    </row>
    <row r="369" spans="1:15">
      <c r="A369" s="2">
        <v>368</v>
      </c>
      <c r="B369" s="4">
        <f>YEAR(F369)</f>
        <v>2023</v>
      </c>
      <c r="C369" s="4">
        <f>MONTH(F369)</f>
        <v>8</v>
      </c>
      <c r="D369" s="4">
        <f>DAY(F369)</f>
        <v>23</v>
      </c>
      <c r="E369" s="4" t="str">
        <f t="shared" si="5"/>
        <v>Wednesday</v>
      </c>
      <c r="F369" s="3">
        <v>45161</v>
      </c>
      <c r="G369" s="4" t="s">
        <v>400</v>
      </c>
      <c r="H369" s="4" t="s">
        <v>7</v>
      </c>
      <c r="I369" s="4">
        <v>56</v>
      </c>
      <c r="J369" s="4" t="str" cm="1">
        <f t="array" ref="J369">_xlfn.IFS(I369&lt;30,"Young Adult", I369&lt;50,"Adult",I369 &gt;=50,"Seniors")</f>
        <v>Seniors</v>
      </c>
      <c r="K369" s="4" t="s">
        <v>3</v>
      </c>
      <c r="L369" s="4">
        <v>4</v>
      </c>
      <c r="M369" s="5">
        <v>300</v>
      </c>
      <c r="N369">
        <f>L369*M369</f>
        <v>1200</v>
      </c>
      <c r="O369" s="15">
        <f>N369*$R$3</f>
        <v>18</v>
      </c>
    </row>
    <row r="370" spans="1:15">
      <c r="A370" s="2">
        <v>369</v>
      </c>
      <c r="B370" s="4">
        <f>YEAR(F370)</f>
        <v>2023</v>
      </c>
      <c r="C370" s="4">
        <f>MONTH(F370)</f>
        <v>11</v>
      </c>
      <c r="D370" s="4">
        <f>DAY(F370)</f>
        <v>15</v>
      </c>
      <c r="E370" s="4" t="str">
        <f t="shared" si="5"/>
        <v>Wednesday</v>
      </c>
      <c r="F370" s="3">
        <v>45245</v>
      </c>
      <c r="G370" s="4" t="s">
        <v>401</v>
      </c>
      <c r="H370" s="4" t="s">
        <v>8</v>
      </c>
      <c r="I370" s="4">
        <v>23</v>
      </c>
      <c r="J370" s="4" t="str" cm="1">
        <f t="array" ref="J370">_xlfn.IFS(I370&lt;30,"Young Adult", I370&lt;50,"Adult",I370 &gt;=50,"Seniors")</f>
        <v>Young Adult</v>
      </c>
      <c r="K370" s="4" t="s">
        <v>4</v>
      </c>
      <c r="L370" s="4">
        <v>3</v>
      </c>
      <c r="M370" s="5">
        <v>500</v>
      </c>
      <c r="N370">
        <f>L370*M370</f>
        <v>1500</v>
      </c>
      <c r="O370" s="15">
        <f>N370*$R$3</f>
        <v>22.5</v>
      </c>
    </row>
    <row r="371" spans="1:15">
      <c r="A371" s="2">
        <v>370</v>
      </c>
      <c r="B371" s="4">
        <f>YEAR(F371)</f>
        <v>2023</v>
      </c>
      <c r="C371" s="4">
        <f>MONTH(F371)</f>
        <v>10</v>
      </c>
      <c r="D371" s="4">
        <f>DAY(F371)</f>
        <v>16</v>
      </c>
      <c r="E371" s="4" t="str">
        <f t="shared" si="5"/>
        <v>Monday</v>
      </c>
      <c r="F371" s="3">
        <v>45215</v>
      </c>
      <c r="G371" s="4" t="s">
        <v>402</v>
      </c>
      <c r="H371" s="4" t="s">
        <v>8</v>
      </c>
      <c r="I371" s="4">
        <v>23</v>
      </c>
      <c r="J371" s="4" t="str" cm="1">
        <f t="array" ref="J371">_xlfn.IFS(I371&lt;30,"Young Adult", I371&lt;50,"Adult",I371 &gt;=50,"Seniors")</f>
        <v>Young Adult</v>
      </c>
      <c r="K371" s="4" t="s">
        <v>4</v>
      </c>
      <c r="L371" s="4">
        <v>2</v>
      </c>
      <c r="M371" s="5">
        <v>30</v>
      </c>
      <c r="N371">
        <f>L371*M371</f>
        <v>60</v>
      </c>
      <c r="O371" s="15">
        <f>N371*$R$3</f>
        <v>0.89999999999999991</v>
      </c>
    </row>
    <row r="372" spans="1:15">
      <c r="A372" s="2">
        <v>371</v>
      </c>
      <c r="B372" s="4">
        <f>YEAR(F372)</f>
        <v>2023</v>
      </c>
      <c r="C372" s="4">
        <f>MONTH(F372)</f>
        <v>2</v>
      </c>
      <c r="D372" s="4">
        <f>DAY(F372)</f>
        <v>21</v>
      </c>
      <c r="E372" s="4" t="str">
        <f t="shared" si="5"/>
        <v>Tuesday</v>
      </c>
      <c r="F372" s="3">
        <v>44978</v>
      </c>
      <c r="G372" s="4" t="s">
        <v>403</v>
      </c>
      <c r="H372" s="4" t="s">
        <v>7</v>
      </c>
      <c r="I372" s="4">
        <v>20</v>
      </c>
      <c r="J372" s="4" t="str" cm="1">
        <f t="array" ref="J372">_xlfn.IFS(I372&lt;30,"Young Adult", I372&lt;50,"Adult",I372 &gt;=50,"Seniors")</f>
        <v>Young Adult</v>
      </c>
      <c r="K372" s="4" t="s">
        <v>2</v>
      </c>
      <c r="L372" s="4">
        <v>1</v>
      </c>
      <c r="M372" s="5">
        <v>25</v>
      </c>
      <c r="N372">
        <f>L372*M372</f>
        <v>25</v>
      </c>
      <c r="O372" s="15">
        <f>N372*$R$3</f>
        <v>0.375</v>
      </c>
    </row>
    <row r="373" spans="1:15">
      <c r="A373" s="2">
        <v>372</v>
      </c>
      <c r="B373" s="4">
        <f>YEAR(F373)</f>
        <v>2023</v>
      </c>
      <c r="C373" s="4">
        <f>MONTH(F373)</f>
        <v>2</v>
      </c>
      <c r="D373" s="4">
        <f>DAY(F373)</f>
        <v>7</v>
      </c>
      <c r="E373" s="4" t="str">
        <f t="shared" si="5"/>
        <v>Tuesday</v>
      </c>
      <c r="F373" s="3">
        <v>44964</v>
      </c>
      <c r="G373" s="4" t="s">
        <v>404</v>
      </c>
      <c r="H373" s="4" t="s">
        <v>7</v>
      </c>
      <c r="I373" s="4">
        <v>24</v>
      </c>
      <c r="J373" s="4" t="str" cm="1">
        <f t="array" ref="J373">_xlfn.IFS(I373&lt;30,"Young Adult", I373&lt;50,"Adult",I373 &gt;=50,"Seniors")</f>
        <v>Young Adult</v>
      </c>
      <c r="K373" s="4" t="s">
        <v>2</v>
      </c>
      <c r="L373" s="4">
        <v>3</v>
      </c>
      <c r="M373" s="5">
        <v>500</v>
      </c>
      <c r="N373">
        <f>L373*M373</f>
        <v>1500</v>
      </c>
      <c r="O373" s="15">
        <f>N373*$R$3</f>
        <v>22.5</v>
      </c>
    </row>
    <row r="374" spans="1:15">
      <c r="A374" s="2">
        <v>373</v>
      </c>
      <c r="B374" s="4">
        <f>YEAR(F374)</f>
        <v>2023</v>
      </c>
      <c r="C374" s="4">
        <f>MONTH(F374)</f>
        <v>10</v>
      </c>
      <c r="D374" s="4">
        <f>DAY(F374)</f>
        <v>3</v>
      </c>
      <c r="E374" s="4" t="str">
        <f t="shared" si="5"/>
        <v>Tuesday</v>
      </c>
      <c r="F374" s="3">
        <v>45202</v>
      </c>
      <c r="G374" s="4" t="s">
        <v>405</v>
      </c>
      <c r="H374" s="4" t="s">
        <v>7</v>
      </c>
      <c r="I374" s="4">
        <v>25</v>
      </c>
      <c r="J374" s="4" t="str" cm="1">
        <f t="array" ref="J374">_xlfn.IFS(I374&lt;30,"Young Adult", I374&lt;50,"Adult",I374 &gt;=50,"Seniors")</f>
        <v>Young Adult</v>
      </c>
      <c r="K374" s="4" t="s">
        <v>2</v>
      </c>
      <c r="L374" s="4">
        <v>2</v>
      </c>
      <c r="M374" s="5">
        <v>300</v>
      </c>
      <c r="N374">
        <f>L374*M374</f>
        <v>600</v>
      </c>
      <c r="O374" s="15">
        <f>N374*$R$3</f>
        <v>9</v>
      </c>
    </row>
    <row r="375" spans="1:15">
      <c r="A375" s="2">
        <v>374</v>
      </c>
      <c r="B375" s="4">
        <f>YEAR(F375)</f>
        <v>2023</v>
      </c>
      <c r="C375" s="4">
        <f>MONTH(F375)</f>
        <v>4</v>
      </c>
      <c r="D375" s="4">
        <f>DAY(F375)</f>
        <v>20</v>
      </c>
      <c r="E375" s="4" t="str">
        <f t="shared" si="5"/>
        <v>Thursday</v>
      </c>
      <c r="F375" s="3">
        <v>45036</v>
      </c>
      <c r="G375" s="4" t="s">
        <v>406</v>
      </c>
      <c r="H375" s="4" t="s">
        <v>7</v>
      </c>
      <c r="I375" s="4">
        <v>59</v>
      </c>
      <c r="J375" s="4" t="str" cm="1">
        <f t="array" ref="J375">_xlfn.IFS(I375&lt;30,"Young Adult", I375&lt;50,"Adult",I375 &gt;=50,"Seniors")</f>
        <v>Seniors</v>
      </c>
      <c r="K375" s="4" t="s">
        <v>2</v>
      </c>
      <c r="L375" s="4">
        <v>3</v>
      </c>
      <c r="M375" s="5">
        <v>25</v>
      </c>
      <c r="N375">
        <f>L375*M375</f>
        <v>75</v>
      </c>
      <c r="O375" s="15">
        <f>N375*$R$3</f>
        <v>1.125</v>
      </c>
    </row>
    <row r="376" spans="1:15">
      <c r="A376" s="2">
        <v>375</v>
      </c>
      <c r="B376" s="4">
        <f>YEAR(F376)</f>
        <v>2023</v>
      </c>
      <c r="C376" s="4">
        <f>MONTH(F376)</f>
        <v>9</v>
      </c>
      <c r="D376" s="4">
        <f>DAY(F376)</f>
        <v>17</v>
      </c>
      <c r="E376" s="4" t="str">
        <f t="shared" si="5"/>
        <v>Sunday</v>
      </c>
      <c r="F376" s="3">
        <v>45186</v>
      </c>
      <c r="G376" s="4" t="s">
        <v>407</v>
      </c>
      <c r="H376" s="4" t="s">
        <v>8</v>
      </c>
      <c r="I376" s="4">
        <v>32</v>
      </c>
      <c r="J376" s="4" t="str" cm="1">
        <f t="array" ref="J376">_xlfn.IFS(I376&lt;30,"Young Adult", I376&lt;50,"Adult",I376 &gt;=50,"Seniors")</f>
        <v>Adult</v>
      </c>
      <c r="K376" s="4" t="s">
        <v>3</v>
      </c>
      <c r="L376" s="4">
        <v>1</v>
      </c>
      <c r="M376" s="5">
        <v>50</v>
      </c>
      <c r="N376">
        <f>L376*M376</f>
        <v>50</v>
      </c>
      <c r="O376" s="15">
        <f>N376*$R$3</f>
        <v>0.75</v>
      </c>
    </row>
    <row r="377" spans="1:15">
      <c r="A377" s="2">
        <v>376</v>
      </c>
      <c r="B377" s="4">
        <f>YEAR(F377)</f>
        <v>2023</v>
      </c>
      <c r="C377" s="4">
        <f>MONTH(F377)</f>
        <v>5</v>
      </c>
      <c r="D377" s="4">
        <f>DAY(F377)</f>
        <v>16</v>
      </c>
      <c r="E377" s="4" t="str">
        <f t="shared" si="5"/>
        <v>Tuesday</v>
      </c>
      <c r="F377" s="3">
        <v>45062</v>
      </c>
      <c r="G377" s="4" t="s">
        <v>408</v>
      </c>
      <c r="H377" s="4" t="s">
        <v>7</v>
      </c>
      <c r="I377" s="4">
        <v>64</v>
      </c>
      <c r="J377" s="4" t="str" cm="1">
        <f t="array" ref="J377">_xlfn.IFS(I377&lt;30,"Young Adult", I377&lt;50,"Adult",I377 &gt;=50,"Seniors")</f>
        <v>Seniors</v>
      </c>
      <c r="K377" s="4" t="s">
        <v>2</v>
      </c>
      <c r="L377" s="4">
        <v>1</v>
      </c>
      <c r="M377" s="5">
        <v>30</v>
      </c>
      <c r="N377">
        <f>L377*M377</f>
        <v>30</v>
      </c>
      <c r="O377" s="15">
        <f>N377*$R$3</f>
        <v>0.44999999999999996</v>
      </c>
    </row>
    <row r="378" spans="1:15">
      <c r="A378" s="2">
        <v>377</v>
      </c>
      <c r="B378" s="4">
        <f>YEAR(F378)</f>
        <v>2023</v>
      </c>
      <c r="C378" s="4">
        <f>MONTH(F378)</f>
        <v>3</v>
      </c>
      <c r="D378" s="4">
        <f>DAY(F378)</f>
        <v>9</v>
      </c>
      <c r="E378" s="4" t="str">
        <f t="shared" si="5"/>
        <v>Thursday</v>
      </c>
      <c r="F378" s="3">
        <v>44994</v>
      </c>
      <c r="G378" s="4" t="s">
        <v>409</v>
      </c>
      <c r="H378" s="4" t="s">
        <v>7</v>
      </c>
      <c r="I378" s="4">
        <v>46</v>
      </c>
      <c r="J378" s="4" t="str" cm="1">
        <f t="array" ref="J378">_xlfn.IFS(I378&lt;30,"Young Adult", I378&lt;50,"Adult",I378 &gt;=50,"Seniors")</f>
        <v>Adult</v>
      </c>
      <c r="K378" s="4" t="s">
        <v>3</v>
      </c>
      <c r="L378" s="4">
        <v>4</v>
      </c>
      <c r="M378" s="5">
        <v>50</v>
      </c>
      <c r="N378">
        <f>L378*M378</f>
        <v>200</v>
      </c>
      <c r="O378" s="15">
        <f>N378*$R$3</f>
        <v>3</v>
      </c>
    </row>
    <row r="379" spans="1:15">
      <c r="A379" s="2">
        <v>378</v>
      </c>
      <c r="B379" s="4">
        <f>YEAR(F379)</f>
        <v>2023</v>
      </c>
      <c r="C379" s="4">
        <f>MONTH(F379)</f>
        <v>6</v>
      </c>
      <c r="D379" s="4">
        <f>DAY(F379)</f>
        <v>28</v>
      </c>
      <c r="E379" s="4" t="str">
        <f t="shared" si="5"/>
        <v>Wednesday</v>
      </c>
      <c r="F379" s="3">
        <v>45105</v>
      </c>
      <c r="G379" s="4" t="s">
        <v>410</v>
      </c>
      <c r="H379" s="4" t="s">
        <v>8</v>
      </c>
      <c r="I379" s="4">
        <v>50</v>
      </c>
      <c r="J379" s="4" t="str" cm="1">
        <f t="array" ref="J379">_xlfn.IFS(I379&lt;30,"Young Adult", I379&lt;50,"Adult",I379 &gt;=50,"Seniors")</f>
        <v>Seniors</v>
      </c>
      <c r="K379" s="4" t="s">
        <v>2</v>
      </c>
      <c r="L379" s="4">
        <v>1</v>
      </c>
      <c r="M379" s="5">
        <v>300</v>
      </c>
      <c r="N379">
        <f>L379*M379</f>
        <v>300</v>
      </c>
      <c r="O379" s="15">
        <f>N379*$R$3</f>
        <v>4.5</v>
      </c>
    </row>
    <row r="380" spans="1:15">
      <c r="A380" s="2">
        <v>379</v>
      </c>
      <c r="B380" s="4">
        <f>YEAR(F380)</f>
        <v>2023</v>
      </c>
      <c r="C380" s="4">
        <f>MONTH(F380)</f>
        <v>2</v>
      </c>
      <c r="D380" s="4">
        <f>DAY(F380)</f>
        <v>5</v>
      </c>
      <c r="E380" s="4" t="str">
        <f t="shared" si="5"/>
        <v>Sunday</v>
      </c>
      <c r="F380" s="3">
        <v>44962</v>
      </c>
      <c r="G380" s="4" t="s">
        <v>411</v>
      </c>
      <c r="H380" s="4" t="s">
        <v>7</v>
      </c>
      <c r="I380" s="4">
        <v>47</v>
      </c>
      <c r="J380" s="4" t="str" cm="1">
        <f t="array" ref="J380">_xlfn.IFS(I380&lt;30,"Young Adult", I380&lt;50,"Adult",I380 &gt;=50,"Seniors")</f>
        <v>Adult</v>
      </c>
      <c r="K380" s="4" t="s">
        <v>3</v>
      </c>
      <c r="L380" s="4">
        <v>1</v>
      </c>
      <c r="M380" s="5">
        <v>25</v>
      </c>
      <c r="N380">
        <f>L380*M380</f>
        <v>25</v>
      </c>
      <c r="O380" s="15">
        <f>N380*$R$3</f>
        <v>0.375</v>
      </c>
    </row>
    <row r="381" spans="1:15">
      <c r="A381" s="2">
        <v>380</v>
      </c>
      <c r="B381" s="4">
        <f>YEAR(F381)</f>
        <v>2023</v>
      </c>
      <c r="C381" s="4">
        <f>MONTH(F381)</f>
        <v>5</v>
      </c>
      <c r="D381" s="4">
        <f>DAY(F381)</f>
        <v>6</v>
      </c>
      <c r="E381" s="4" t="str">
        <f t="shared" si="5"/>
        <v>Saturday</v>
      </c>
      <c r="F381" s="3">
        <v>45052</v>
      </c>
      <c r="G381" s="4" t="s">
        <v>412</v>
      </c>
      <c r="H381" s="4" t="s">
        <v>8</v>
      </c>
      <c r="I381" s="4">
        <v>56</v>
      </c>
      <c r="J381" s="4" t="str" cm="1">
        <f t="array" ref="J381">_xlfn.IFS(I381&lt;30,"Young Adult", I381&lt;50,"Adult",I381 &gt;=50,"Seniors")</f>
        <v>Seniors</v>
      </c>
      <c r="K381" s="4" t="s">
        <v>4</v>
      </c>
      <c r="L381" s="4">
        <v>2</v>
      </c>
      <c r="M381" s="5">
        <v>300</v>
      </c>
      <c r="N381">
        <f>L381*M381</f>
        <v>600</v>
      </c>
      <c r="O381" s="15">
        <f>N381*$R$3</f>
        <v>9</v>
      </c>
    </row>
    <row r="382" spans="1:15">
      <c r="A382" s="2">
        <v>381</v>
      </c>
      <c r="B382" s="4">
        <f>YEAR(F382)</f>
        <v>2023</v>
      </c>
      <c r="C382" s="4">
        <f>MONTH(F382)</f>
        <v>7</v>
      </c>
      <c r="D382" s="4">
        <f>DAY(F382)</f>
        <v>9</v>
      </c>
      <c r="E382" s="4" t="str">
        <f t="shared" si="5"/>
        <v>Sunday</v>
      </c>
      <c r="F382" s="3">
        <v>45116</v>
      </c>
      <c r="G382" s="4" t="s">
        <v>413</v>
      </c>
      <c r="H382" s="4" t="s">
        <v>7</v>
      </c>
      <c r="I382" s="4">
        <v>44</v>
      </c>
      <c r="J382" s="4" t="str" cm="1">
        <f t="array" ref="J382">_xlfn.IFS(I382&lt;30,"Young Adult", I382&lt;50,"Adult",I382 &gt;=50,"Seniors")</f>
        <v>Adult</v>
      </c>
      <c r="K382" s="4" t="s">
        <v>3</v>
      </c>
      <c r="L382" s="4">
        <v>4</v>
      </c>
      <c r="M382" s="5">
        <v>25</v>
      </c>
      <c r="N382">
        <f>L382*M382</f>
        <v>100</v>
      </c>
      <c r="O382" s="15">
        <f>N382*$R$3</f>
        <v>1.5</v>
      </c>
    </row>
    <row r="383" spans="1:15">
      <c r="A383" s="2">
        <v>382</v>
      </c>
      <c r="B383" s="4">
        <f>YEAR(F383)</f>
        <v>2023</v>
      </c>
      <c r="C383" s="4">
        <f>MONTH(F383)</f>
        <v>5</v>
      </c>
      <c r="D383" s="4">
        <f>DAY(F383)</f>
        <v>26</v>
      </c>
      <c r="E383" s="4" t="str">
        <f t="shared" si="5"/>
        <v>Friday</v>
      </c>
      <c r="F383" s="3">
        <v>45072</v>
      </c>
      <c r="G383" s="4" t="s">
        <v>414</v>
      </c>
      <c r="H383" s="4" t="s">
        <v>7</v>
      </c>
      <c r="I383" s="4">
        <v>53</v>
      </c>
      <c r="J383" s="4" t="str" cm="1">
        <f t="array" ref="J383">_xlfn.IFS(I383&lt;30,"Young Adult", I383&lt;50,"Adult",I383 &gt;=50,"Seniors")</f>
        <v>Seniors</v>
      </c>
      <c r="K383" s="4" t="s">
        <v>3</v>
      </c>
      <c r="L383" s="4">
        <v>2</v>
      </c>
      <c r="M383" s="5">
        <v>500</v>
      </c>
      <c r="N383">
        <f>L383*M383</f>
        <v>1000</v>
      </c>
      <c r="O383" s="15">
        <f>N383*$R$3</f>
        <v>15</v>
      </c>
    </row>
    <row r="384" spans="1:15">
      <c r="A384" s="2">
        <v>383</v>
      </c>
      <c r="B384" s="4">
        <f>YEAR(F384)</f>
        <v>2023</v>
      </c>
      <c r="C384" s="4">
        <f>MONTH(F384)</f>
        <v>3</v>
      </c>
      <c r="D384" s="4">
        <f>DAY(F384)</f>
        <v>22</v>
      </c>
      <c r="E384" s="4" t="str">
        <f t="shared" si="5"/>
        <v>Wednesday</v>
      </c>
      <c r="F384" s="3">
        <v>45007</v>
      </c>
      <c r="G384" s="4" t="s">
        <v>415</v>
      </c>
      <c r="H384" s="4" t="s">
        <v>7</v>
      </c>
      <c r="I384" s="4">
        <v>46</v>
      </c>
      <c r="J384" s="4" t="str" cm="1">
        <f t="array" ref="J384">_xlfn.IFS(I384&lt;30,"Young Adult", I384&lt;50,"Adult",I384 &gt;=50,"Seniors")</f>
        <v>Adult</v>
      </c>
      <c r="K384" s="4" t="s">
        <v>2</v>
      </c>
      <c r="L384" s="4">
        <v>3</v>
      </c>
      <c r="M384" s="5">
        <v>30</v>
      </c>
      <c r="N384">
        <f>L384*M384</f>
        <v>90</v>
      </c>
      <c r="O384" s="15">
        <f>N384*$R$3</f>
        <v>1.3499999999999999</v>
      </c>
    </row>
    <row r="385" spans="1:15">
      <c r="A385" s="2">
        <v>384</v>
      </c>
      <c r="B385" s="4">
        <f>YEAR(F385)</f>
        <v>2023</v>
      </c>
      <c r="C385" s="4">
        <f>MONTH(F385)</f>
        <v>8</v>
      </c>
      <c r="D385" s="4">
        <f>DAY(F385)</f>
        <v>13</v>
      </c>
      <c r="E385" s="4" t="str">
        <f t="shared" si="5"/>
        <v>Sunday</v>
      </c>
      <c r="F385" s="3">
        <v>45151</v>
      </c>
      <c r="G385" s="4" t="s">
        <v>416</v>
      </c>
      <c r="H385" s="4" t="s">
        <v>8</v>
      </c>
      <c r="I385" s="4">
        <v>55</v>
      </c>
      <c r="J385" s="4" t="str" cm="1">
        <f t="array" ref="J385">_xlfn.IFS(I385&lt;30,"Young Adult", I385&lt;50,"Adult",I385 &gt;=50,"Seniors")</f>
        <v>Seniors</v>
      </c>
      <c r="K385" s="4" t="s">
        <v>3</v>
      </c>
      <c r="L385" s="4">
        <v>1</v>
      </c>
      <c r="M385" s="5">
        <v>500</v>
      </c>
      <c r="N385">
        <f>L385*M385</f>
        <v>500</v>
      </c>
      <c r="O385" s="15">
        <f>N385*$R$3</f>
        <v>7.5</v>
      </c>
    </row>
    <row r="386" spans="1:15">
      <c r="A386" s="2">
        <v>385</v>
      </c>
      <c r="B386" s="4">
        <f>YEAR(F386)</f>
        <v>2023</v>
      </c>
      <c r="C386" s="4">
        <f>MONTH(F386)</f>
        <v>10</v>
      </c>
      <c r="D386" s="4">
        <f>DAY(F386)</f>
        <v>6</v>
      </c>
      <c r="E386" s="4" t="str">
        <f t="shared" si="5"/>
        <v>Friday</v>
      </c>
      <c r="F386" s="3">
        <v>45205</v>
      </c>
      <c r="G386" s="4" t="s">
        <v>417</v>
      </c>
      <c r="H386" s="4" t="s">
        <v>8</v>
      </c>
      <c r="I386" s="4">
        <v>50</v>
      </c>
      <c r="J386" s="4" t="str" cm="1">
        <f t="array" ref="J386">_xlfn.IFS(I386&lt;30,"Young Adult", I386&lt;50,"Adult",I386 &gt;=50,"Seniors")</f>
        <v>Seniors</v>
      </c>
      <c r="K386" s="4" t="s">
        <v>4</v>
      </c>
      <c r="L386" s="4">
        <v>3</v>
      </c>
      <c r="M386" s="5">
        <v>500</v>
      </c>
      <c r="N386">
        <f>L386*M386</f>
        <v>1500</v>
      </c>
      <c r="O386" s="15">
        <f>N386*$R$3</f>
        <v>22.5</v>
      </c>
    </row>
    <row r="387" spans="1:15">
      <c r="A387" s="2">
        <v>386</v>
      </c>
      <c r="B387" s="4">
        <f>YEAR(F387)</f>
        <v>2023</v>
      </c>
      <c r="C387" s="4">
        <f>MONTH(F387)</f>
        <v>12</v>
      </c>
      <c r="D387" s="4">
        <f>DAY(F387)</f>
        <v>27</v>
      </c>
      <c r="E387" s="4" t="str">
        <f t="shared" ref="E387:E450" si="6">TEXT(F387,"dddd")</f>
        <v>Wednesday</v>
      </c>
      <c r="F387" s="3">
        <v>45287</v>
      </c>
      <c r="G387" s="4" t="s">
        <v>418</v>
      </c>
      <c r="H387" s="4" t="s">
        <v>7</v>
      </c>
      <c r="I387" s="4">
        <v>54</v>
      </c>
      <c r="J387" s="4" t="str" cm="1">
        <f t="array" ref="J387">_xlfn.IFS(I387&lt;30,"Young Adult", I387&lt;50,"Adult",I387 &gt;=50,"Seniors")</f>
        <v>Seniors</v>
      </c>
      <c r="K387" s="4" t="s">
        <v>4</v>
      </c>
      <c r="L387" s="4">
        <v>2</v>
      </c>
      <c r="M387" s="5">
        <v>300</v>
      </c>
      <c r="N387">
        <f>L387*M387</f>
        <v>600</v>
      </c>
      <c r="O387" s="15">
        <f>N387*$R$3</f>
        <v>9</v>
      </c>
    </row>
    <row r="388" spans="1:15">
      <c r="A388" s="2">
        <v>387</v>
      </c>
      <c r="B388" s="4">
        <f>YEAR(F388)</f>
        <v>2023</v>
      </c>
      <c r="C388" s="4">
        <f>MONTH(F388)</f>
        <v>6</v>
      </c>
      <c r="D388" s="4">
        <f>DAY(F388)</f>
        <v>4</v>
      </c>
      <c r="E388" s="4" t="str">
        <f t="shared" si="6"/>
        <v>Sunday</v>
      </c>
      <c r="F388" s="3">
        <v>45081</v>
      </c>
      <c r="G388" s="4" t="s">
        <v>419</v>
      </c>
      <c r="H388" s="4" t="s">
        <v>8</v>
      </c>
      <c r="I388" s="4">
        <v>44</v>
      </c>
      <c r="J388" s="4" t="str" cm="1">
        <f t="array" ref="J388">_xlfn.IFS(I388&lt;30,"Young Adult", I388&lt;50,"Adult",I388 &gt;=50,"Seniors")</f>
        <v>Adult</v>
      </c>
      <c r="K388" s="4" t="s">
        <v>2</v>
      </c>
      <c r="L388" s="4">
        <v>1</v>
      </c>
      <c r="M388" s="5">
        <v>30</v>
      </c>
      <c r="N388">
        <f>L388*M388</f>
        <v>30</v>
      </c>
      <c r="O388" s="15">
        <f>N388*$R$3</f>
        <v>0.44999999999999996</v>
      </c>
    </row>
    <row r="389" spans="1:15">
      <c r="A389" s="2">
        <v>388</v>
      </c>
      <c r="B389" s="4">
        <f>YEAR(F389)</f>
        <v>2023</v>
      </c>
      <c r="C389" s="4">
        <f>MONTH(F389)</f>
        <v>11</v>
      </c>
      <c r="D389" s="4">
        <f>DAY(F389)</f>
        <v>10</v>
      </c>
      <c r="E389" s="4" t="str">
        <f t="shared" si="6"/>
        <v>Friday</v>
      </c>
      <c r="F389" s="3">
        <v>45240</v>
      </c>
      <c r="G389" s="4" t="s">
        <v>420</v>
      </c>
      <c r="H389" s="4" t="s">
        <v>8</v>
      </c>
      <c r="I389" s="4">
        <v>50</v>
      </c>
      <c r="J389" s="4" t="str" cm="1">
        <f t="array" ref="J389">_xlfn.IFS(I389&lt;30,"Young Adult", I389&lt;50,"Adult",I389 &gt;=50,"Seniors")</f>
        <v>Seniors</v>
      </c>
      <c r="K389" s="4" t="s">
        <v>4</v>
      </c>
      <c r="L389" s="4">
        <v>1</v>
      </c>
      <c r="M389" s="5">
        <v>25</v>
      </c>
      <c r="N389">
        <f>L389*M389</f>
        <v>25</v>
      </c>
      <c r="O389" s="15">
        <f>N389*$R$3</f>
        <v>0.375</v>
      </c>
    </row>
    <row r="390" spans="1:15">
      <c r="A390" s="2">
        <v>389</v>
      </c>
      <c r="B390" s="4">
        <f>YEAR(F390)</f>
        <v>2023</v>
      </c>
      <c r="C390" s="4">
        <f>MONTH(F390)</f>
        <v>12</v>
      </c>
      <c r="D390" s="4">
        <f>DAY(F390)</f>
        <v>1</v>
      </c>
      <c r="E390" s="4" t="str">
        <f t="shared" si="6"/>
        <v>Friday</v>
      </c>
      <c r="F390" s="3">
        <v>45261</v>
      </c>
      <c r="G390" s="4" t="s">
        <v>421</v>
      </c>
      <c r="H390" s="4" t="s">
        <v>8</v>
      </c>
      <c r="I390" s="4">
        <v>21</v>
      </c>
      <c r="J390" s="4" t="str" cm="1">
        <f t="array" ref="J390">_xlfn.IFS(I390&lt;30,"Young Adult", I390&lt;50,"Adult",I390 &gt;=50,"Seniors")</f>
        <v>Young Adult</v>
      </c>
      <c r="K390" s="4" t="s">
        <v>3</v>
      </c>
      <c r="L390" s="4">
        <v>2</v>
      </c>
      <c r="M390" s="5">
        <v>25</v>
      </c>
      <c r="N390">
        <f>L390*M390</f>
        <v>50</v>
      </c>
      <c r="O390" s="15">
        <f>N390*$R$3</f>
        <v>0.75</v>
      </c>
    </row>
    <row r="391" spans="1:15">
      <c r="A391" s="2">
        <v>390</v>
      </c>
      <c r="B391" s="4">
        <f>YEAR(F391)</f>
        <v>2023</v>
      </c>
      <c r="C391" s="4">
        <f>MONTH(F391)</f>
        <v>9</v>
      </c>
      <c r="D391" s="4">
        <f>DAY(F391)</f>
        <v>28</v>
      </c>
      <c r="E391" s="4" t="str">
        <f t="shared" si="6"/>
        <v>Thursday</v>
      </c>
      <c r="F391" s="3">
        <v>45197</v>
      </c>
      <c r="G391" s="4" t="s">
        <v>422</v>
      </c>
      <c r="H391" s="4" t="s">
        <v>8</v>
      </c>
      <c r="I391" s="4">
        <v>39</v>
      </c>
      <c r="J391" s="4" t="str" cm="1">
        <f t="array" ref="J391">_xlfn.IFS(I391&lt;30,"Young Adult", I391&lt;50,"Adult",I391 &gt;=50,"Seniors")</f>
        <v>Adult</v>
      </c>
      <c r="K391" s="4" t="s">
        <v>4</v>
      </c>
      <c r="L391" s="4">
        <v>2</v>
      </c>
      <c r="M391" s="5">
        <v>50</v>
      </c>
      <c r="N391">
        <f>L391*M391</f>
        <v>100</v>
      </c>
      <c r="O391" s="15">
        <f>N391*$R$3</f>
        <v>1.5</v>
      </c>
    </row>
    <row r="392" spans="1:15">
      <c r="A392" s="2">
        <v>391</v>
      </c>
      <c r="B392" s="4">
        <f>YEAR(F392)</f>
        <v>2023</v>
      </c>
      <c r="C392" s="4">
        <f>MONTH(F392)</f>
        <v>1</v>
      </c>
      <c r="D392" s="4">
        <f>DAY(F392)</f>
        <v>5</v>
      </c>
      <c r="E392" s="4" t="str">
        <f t="shared" si="6"/>
        <v>Thursday</v>
      </c>
      <c r="F392" s="3">
        <v>44931</v>
      </c>
      <c r="G392" s="4" t="s">
        <v>423</v>
      </c>
      <c r="H392" s="4" t="s">
        <v>8</v>
      </c>
      <c r="I392" s="4">
        <v>19</v>
      </c>
      <c r="J392" s="4" t="str" cm="1">
        <f t="array" ref="J392">_xlfn.IFS(I392&lt;30,"Young Adult", I392&lt;50,"Adult",I392 &gt;=50,"Seniors")</f>
        <v>Young Adult</v>
      </c>
      <c r="K392" s="4" t="s">
        <v>2</v>
      </c>
      <c r="L392" s="4">
        <v>2</v>
      </c>
      <c r="M392" s="5">
        <v>25</v>
      </c>
      <c r="N392">
        <f>L392*M392</f>
        <v>50</v>
      </c>
      <c r="O392" s="15">
        <f>N392*$R$3</f>
        <v>0.75</v>
      </c>
    </row>
    <row r="393" spans="1:15">
      <c r="A393" s="2">
        <v>392</v>
      </c>
      <c r="B393" s="4">
        <f>YEAR(F393)</f>
        <v>2023</v>
      </c>
      <c r="C393" s="4">
        <f>MONTH(F393)</f>
        <v>12</v>
      </c>
      <c r="D393" s="4">
        <f>DAY(F393)</f>
        <v>8</v>
      </c>
      <c r="E393" s="4" t="str">
        <f t="shared" si="6"/>
        <v>Friday</v>
      </c>
      <c r="F393" s="3">
        <v>45268</v>
      </c>
      <c r="G393" s="4" t="s">
        <v>424</v>
      </c>
      <c r="H393" s="4" t="s">
        <v>8</v>
      </c>
      <c r="I393" s="4">
        <v>27</v>
      </c>
      <c r="J393" s="4" t="str" cm="1">
        <f t="array" ref="J393">_xlfn.IFS(I393&lt;30,"Young Adult", I393&lt;50,"Adult",I393 &gt;=50,"Seniors")</f>
        <v>Young Adult</v>
      </c>
      <c r="K393" s="4" t="s">
        <v>3</v>
      </c>
      <c r="L393" s="4">
        <v>2</v>
      </c>
      <c r="M393" s="5">
        <v>300</v>
      </c>
      <c r="N393">
        <f>L393*M393</f>
        <v>600</v>
      </c>
      <c r="O393" s="15">
        <f>N393*$R$3</f>
        <v>9</v>
      </c>
    </row>
    <row r="394" spans="1:15">
      <c r="A394" s="2">
        <v>393</v>
      </c>
      <c r="B394" s="4">
        <f>YEAR(F394)</f>
        <v>2023</v>
      </c>
      <c r="C394" s="4">
        <f>MONTH(F394)</f>
        <v>10</v>
      </c>
      <c r="D394" s="4">
        <f>DAY(F394)</f>
        <v>11</v>
      </c>
      <c r="E394" s="4" t="str">
        <f t="shared" si="6"/>
        <v>Wednesday</v>
      </c>
      <c r="F394" s="3">
        <v>45210</v>
      </c>
      <c r="G394" s="4" t="s">
        <v>425</v>
      </c>
      <c r="H394" s="4" t="s">
        <v>7</v>
      </c>
      <c r="I394" s="4">
        <v>22</v>
      </c>
      <c r="J394" s="4" t="str" cm="1">
        <f t="array" ref="J394">_xlfn.IFS(I394&lt;30,"Young Adult", I394&lt;50,"Adult",I394 &gt;=50,"Seniors")</f>
        <v>Young Adult</v>
      </c>
      <c r="K394" s="4" t="s">
        <v>2</v>
      </c>
      <c r="L394" s="4">
        <v>2</v>
      </c>
      <c r="M394" s="5">
        <v>500</v>
      </c>
      <c r="N394">
        <f>L394*M394</f>
        <v>1000</v>
      </c>
      <c r="O394" s="15">
        <f>N394*$R$3</f>
        <v>15</v>
      </c>
    </row>
    <row r="395" spans="1:15">
      <c r="A395" s="2">
        <v>394</v>
      </c>
      <c r="B395" s="4">
        <f>YEAR(F395)</f>
        <v>2023</v>
      </c>
      <c r="C395" s="4">
        <f>MONTH(F395)</f>
        <v>6</v>
      </c>
      <c r="D395" s="4">
        <f>DAY(F395)</f>
        <v>3</v>
      </c>
      <c r="E395" s="4" t="str">
        <f t="shared" si="6"/>
        <v>Saturday</v>
      </c>
      <c r="F395" s="3">
        <v>45080</v>
      </c>
      <c r="G395" s="4" t="s">
        <v>426</v>
      </c>
      <c r="H395" s="4" t="s">
        <v>7</v>
      </c>
      <c r="I395" s="4">
        <v>27</v>
      </c>
      <c r="J395" s="4" t="str" cm="1">
        <f t="array" ref="J395">_xlfn.IFS(I395&lt;30,"Young Adult", I395&lt;50,"Adult",I395 &gt;=50,"Seniors")</f>
        <v>Young Adult</v>
      </c>
      <c r="K395" s="4" t="s">
        <v>3</v>
      </c>
      <c r="L395" s="4">
        <v>1</v>
      </c>
      <c r="M395" s="5">
        <v>500</v>
      </c>
      <c r="N395">
        <f>L395*M395</f>
        <v>500</v>
      </c>
      <c r="O395" s="15">
        <f>N395*$R$3</f>
        <v>7.5</v>
      </c>
    </row>
    <row r="396" spans="1:15">
      <c r="A396" s="2">
        <v>395</v>
      </c>
      <c r="B396" s="4">
        <f>YEAR(F396)</f>
        <v>2023</v>
      </c>
      <c r="C396" s="4">
        <f>MONTH(F396)</f>
        <v>12</v>
      </c>
      <c r="D396" s="4">
        <f>DAY(F396)</f>
        <v>6</v>
      </c>
      <c r="E396" s="4" t="str">
        <f t="shared" si="6"/>
        <v>Wednesday</v>
      </c>
      <c r="F396" s="3">
        <v>45266</v>
      </c>
      <c r="G396" s="4" t="s">
        <v>427</v>
      </c>
      <c r="H396" s="4" t="s">
        <v>8</v>
      </c>
      <c r="I396" s="4">
        <v>50</v>
      </c>
      <c r="J396" s="4" t="str" cm="1">
        <f t="array" ref="J396">_xlfn.IFS(I396&lt;30,"Young Adult", I396&lt;50,"Adult",I396 &gt;=50,"Seniors")</f>
        <v>Seniors</v>
      </c>
      <c r="K396" s="4" t="s">
        <v>4</v>
      </c>
      <c r="L396" s="4">
        <v>2</v>
      </c>
      <c r="M396" s="5">
        <v>500</v>
      </c>
      <c r="N396">
        <f>L396*M396</f>
        <v>1000</v>
      </c>
      <c r="O396" s="15">
        <f>N396*$R$3</f>
        <v>15</v>
      </c>
    </row>
    <row r="397" spans="1:15">
      <c r="A397" s="2">
        <v>396</v>
      </c>
      <c r="B397" s="4">
        <f>YEAR(F397)</f>
        <v>2023</v>
      </c>
      <c r="C397" s="4">
        <f>MONTH(F397)</f>
        <v>2</v>
      </c>
      <c r="D397" s="4">
        <f>DAY(F397)</f>
        <v>23</v>
      </c>
      <c r="E397" s="4" t="str">
        <f t="shared" si="6"/>
        <v>Thursday</v>
      </c>
      <c r="F397" s="3">
        <v>44980</v>
      </c>
      <c r="G397" s="4" t="s">
        <v>428</v>
      </c>
      <c r="H397" s="4" t="s">
        <v>7</v>
      </c>
      <c r="I397" s="4">
        <v>55</v>
      </c>
      <c r="J397" s="4" t="str" cm="1">
        <f t="array" ref="J397">_xlfn.IFS(I397&lt;30,"Young Adult", I397&lt;50,"Adult",I397 &gt;=50,"Seniors")</f>
        <v>Seniors</v>
      </c>
      <c r="K397" s="4" t="s">
        <v>2</v>
      </c>
      <c r="L397" s="4">
        <v>1</v>
      </c>
      <c r="M397" s="5">
        <v>30</v>
      </c>
      <c r="N397">
        <f>L397*M397</f>
        <v>30</v>
      </c>
      <c r="O397" s="15">
        <f>N397*$R$3</f>
        <v>0.44999999999999996</v>
      </c>
    </row>
    <row r="398" spans="1:15">
      <c r="A398" s="2">
        <v>397</v>
      </c>
      <c r="B398" s="4">
        <f>YEAR(F398)</f>
        <v>2023</v>
      </c>
      <c r="C398" s="4">
        <f>MONTH(F398)</f>
        <v>3</v>
      </c>
      <c r="D398" s="4">
        <f>DAY(F398)</f>
        <v>10</v>
      </c>
      <c r="E398" s="4" t="str">
        <f t="shared" si="6"/>
        <v>Friday</v>
      </c>
      <c r="F398" s="3">
        <v>44995</v>
      </c>
      <c r="G398" s="4" t="s">
        <v>429</v>
      </c>
      <c r="H398" s="4" t="s">
        <v>7</v>
      </c>
      <c r="I398" s="4">
        <v>30</v>
      </c>
      <c r="J398" s="4" t="str" cm="1">
        <f t="array" ref="J398">_xlfn.IFS(I398&lt;30,"Young Adult", I398&lt;50,"Adult",I398 &gt;=50,"Seniors")</f>
        <v>Adult</v>
      </c>
      <c r="K398" s="4" t="s">
        <v>2</v>
      </c>
      <c r="L398" s="4">
        <v>1</v>
      </c>
      <c r="M398" s="5">
        <v>25</v>
      </c>
      <c r="N398">
        <f>L398*M398</f>
        <v>25</v>
      </c>
      <c r="O398" s="15">
        <f>N398*$R$3</f>
        <v>0.375</v>
      </c>
    </row>
    <row r="399" spans="1:15">
      <c r="A399" s="2">
        <v>398</v>
      </c>
      <c r="B399" s="4">
        <f>YEAR(F399)</f>
        <v>2023</v>
      </c>
      <c r="C399" s="4">
        <f>MONTH(F399)</f>
        <v>5</v>
      </c>
      <c r="D399" s="4">
        <f>DAY(F399)</f>
        <v>16</v>
      </c>
      <c r="E399" s="4" t="str">
        <f t="shared" si="6"/>
        <v>Tuesday</v>
      </c>
      <c r="F399" s="3">
        <v>45062</v>
      </c>
      <c r="G399" s="4" t="s">
        <v>430</v>
      </c>
      <c r="H399" s="4" t="s">
        <v>7</v>
      </c>
      <c r="I399" s="4">
        <v>48</v>
      </c>
      <c r="J399" s="4" t="str" cm="1">
        <f t="array" ref="J399">_xlfn.IFS(I399&lt;30,"Young Adult", I399&lt;50,"Adult",I399 &gt;=50,"Seniors")</f>
        <v>Adult</v>
      </c>
      <c r="K399" s="4" t="s">
        <v>3</v>
      </c>
      <c r="L399" s="4">
        <v>2</v>
      </c>
      <c r="M399" s="5">
        <v>300</v>
      </c>
      <c r="N399">
        <f>L399*M399</f>
        <v>600</v>
      </c>
      <c r="O399" s="15">
        <f>N399*$R$3</f>
        <v>9</v>
      </c>
    </row>
    <row r="400" spans="1:15">
      <c r="A400" s="2">
        <v>399</v>
      </c>
      <c r="B400" s="4">
        <f>YEAR(F400)</f>
        <v>2023</v>
      </c>
      <c r="C400" s="4">
        <f>MONTH(F400)</f>
        <v>3</v>
      </c>
      <c r="D400" s="4">
        <f>DAY(F400)</f>
        <v>1</v>
      </c>
      <c r="E400" s="4" t="str">
        <f t="shared" si="6"/>
        <v>Wednesday</v>
      </c>
      <c r="F400" s="3">
        <v>44986</v>
      </c>
      <c r="G400" s="4" t="s">
        <v>431</v>
      </c>
      <c r="H400" s="4" t="s">
        <v>7</v>
      </c>
      <c r="I400" s="4">
        <v>64</v>
      </c>
      <c r="J400" s="4" t="str" cm="1">
        <f t="array" ref="J400">_xlfn.IFS(I400&lt;30,"Young Adult", I400&lt;50,"Adult",I400 &gt;=50,"Seniors")</f>
        <v>Seniors</v>
      </c>
      <c r="K400" s="4" t="s">
        <v>2</v>
      </c>
      <c r="L400" s="4">
        <v>2</v>
      </c>
      <c r="M400" s="5">
        <v>30</v>
      </c>
      <c r="N400">
        <f>L400*M400</f>
        <v>60</v>
      </c>
      <c r="O400" s="15">
        <f>N400*$R$3</f>
        <v>0.89999999999999991</v>
      </c>
    </row>
    <row r="401" spans="1:15">
      <c r="A401" s="2">
        <v>400</v>
      </c>
      <c r="B401" s="4">
        <f>YEAR(F401)</f>
        <v>2023</v>
      </c>
      <c r="C401" s="4">
        <f>MONTH(F401)</f>
        <v>2</v>
      </c>
      <c r="D401" s="4">
        <f>DAY(F401)</f>
        <v>24</v>
      </c>
      <c r="E401" s="4" t="str">
        <f t="shared" si="6"/>
        <v>Friday</v>
      </c>
      <c r="F401" s="3">
        <v>44981</v>
      </c>
      <c r="G401" s="4" t="s">
        <v>432</v>
      </c>
      <c r="H401" s="4" t="s">
        <v>8</v>
      </c>
      <c r="I401" s="4">
        <v>53</v>
      </c>
      <c r="J401" s="4" t="str" cm="1">
        <f t="array" ref="J401">_xlfn.IFS(I401&lt;30,"Young Adult", I401&lt;50,"Adult",I401 &gt;=50,"Seniors")</f>
        <v>Seniors</v>
      </c>
      <c r="K401" s="4" t="s">
        <v>3</v>
      </c>
      <c r="L401" s="4">
        <v>4</v>
      </c>
      <c r="M401" s="5">
        <v>50</v>
      </c>
      <c r="N401">
        <f>L401*M401</f>
        <v>200</v>
      </c>
      <c r="O401" s="15">
        <f>N401*$R$3</f>
        <v>3</v>
      </c>
    </row>
    <row r="402" spans="1:15">
      <c r="A402" s="2">
        <v>401</v>
      </c>
      <c r="B402" s="4">
        <f>YEAR(F402)</f>
        <v>2023</v>
      </c>
      <c r="C402" s="4">
        <f>MONTH(F402)</f>
        <v>10</v>
      </c>
      <c r="D402" s="4">
        <f>DAY(F402)</f>
        <v>11</v>
      </c>
      <c r="E402" s="4" t="str">
        <f t="shared" si="6"/>
        <v>Wednesday</v>
      </c>
      <c r="F402" s="3">
        <v>45210</v>
      </c>
      <c r="G402" s="4" t="s">
        <v>433</v>
      </c>
      <c r="H402" s="4" t="s">
        <v>7</v>
      </c>
      <c r="I402" s="4">
        <v>62</v>
      </c>
      <c r="J402" s="4" t="str" cm="1">
        <f t="array" ref="J402">_xlfn.IFS(I402&lt;30,"Young Adult", I402&lt;50,"Adult",I402 &gt;=50,"Seniors")</f>
        <v>Seniors</v>
      </c>
      <c r="K402" s="4" t="s">
        <v>3</v>
      </c>
      <c r="L402" s="4">
        <v>1</v>
      </c>
      <c r="M402" s="5">
        <v>300</v>
      </c>
      <c r="N402">
        <f>L402*M402</f>
        <v>300</v>
      </c>
      <c r="O402" s="15">
        <f>N402*$R$3</f>
        <v>4.5</v>
      </c>
    </row>
    <row r="403" spans="1:15">
      <c r="A403" s="2">
        <v>402</v>
      </c>
      <c r="B403" s="4">
        <f>YEAR(F403)</f>
        <v>2023</v>
      </c>
      <c r="C403" s="4">
        <f>MONTH(F403)</f>
        <v>3</v>
      </c>
      <c r="D403" s="4">
        <f>DAY(F403)</f>
        <v>21</v>
      </c>
      <c r="E403" s="4" t="str">
        <f t="shared" si="6"/>
        <v>Tuesday</v>
      </c>
      <c r="F403" s="3">
        <v>45006</v>
      </c>
      <c r="G403" s="4" t="s">
        <v>434</v>
      </c>
      <c r="H403" s="4" t="s">
        <v>7</v>
      </c>
      <c r="I403" s="4">
        <v>41</v>
      </c>
      <c r="J403" s="4" t="str" cm="1">
        <f t="array" ref="J403">_xlfn.IFS(I403&lt;30,"Young Adult", I403&lt;50,"Adult",I403 &gt;=50,"Seniors")</f>
        <v>Adult</v>
      </c>
      <c r="K403" s="4" t="s">
        <v>3</v>
      </c>
      <c r="L403" s="4">
        <v>2</v>
      </c>
      <c r="M403" s="5">
        <v>300</v>
      </c>
      <c r="N403">
        <f>L403*M403</f>
        <v>600</v>
      </c>
      <c r="O403" s="15">
        <f>N403*$R$3</f>
        <v>9</v>
      </c>
    </row>
    <row r="404" spans="1:15">
      <c r="A404" s="2">
        <v>403</v>
      </c>
      <c r="B404" s="4">
        <f>YEAR(F404)</f>
        <v>2023</v>
      </c>
      <c r="C404" s="4">
        <f>MONTH(F404)</f>
        <v>5</v>
      </c>
      <c r="D404" s="4">
        <f>DAY(F404)</f>
        <v>20</v>
      </c>
      <c r="E404" s="4" t="str">
        <f t="shared" si="6"/>
        <v>Saturday</v>
      </c>
      <c r="F404" s="3">
        <v>45066</v>
      </c>
      <c r="G404" s="4" t="s">
        <v>435</v>
      </c>
      <c r="H404" s="4" t="s">
        <v>8</v>
      </c>
      <c r="I404" s="4">
        <v>32</v>
      </c>
      <c r="J404" s="4" t="str" cm="1">
        <f t="array" ref="J404">_xlfn.IFS(I404&lt;30,"Young Adult", I404&lt;50,"Adult",I404 &gt;=50,"Seniors")</f>
        <v>Adult</v>
      </c>
      <c r="K404" s="4" t="s">
        <v>3</v>
      </c>
      <c r="L404" s="4">
        <v>2</v>
      </c>
      <c r="M404" s="5">
        <v>300</v>
      </c>
      <c r="N404">
        <f>L404*M404</f>
        <v>600</v>
      </c>
      <c r="O404" s="15">
        <f>N404*$R$3</f>
        <v>9</v>
      </c>
    </row>
    <row r="405" spans="1:15">
      <c r="A405" s="2">
        <v>404</v>
      </c>
      <c r="B405" s="4">
        <f>YEAR(F405)</f>
        <v>2023</v>
      </c>
      <c r="C405" s="4">
        <f>MONTH(F405)</f>
        <v>5</v>
      </c>
      <c r="D405" s="4">
        <f>DAY(F405)</f>
        <v>25</v>
      </c>
      <c r="E405" s="4" t="str">
        <f t="shared" si="6"/>
        <v>Thursday</v>
      </c>
      <c r="F405" s="3">
        <v>45071</v>
      </c>
      <c r="G405" s="4" t="s">
        <v>436</v>
      </c>
      <c r="H405" s="4" t="s">
        <v>8</v>
      </c>
      <c r="I405" s="4">
        <v>46</v>
      </c>
      <c r="J405" s="4" t="str" cm="1">
        <f t="array" ref="J405">_xlfn.IFS(I405&lt;30,"Young Adult", I405&lt;50,"Adult",I405 &gt;=50,"Seniors")</f>
        <v>Adult</v>
      </c>
      <c r="K405" s="4" t="s">
        <v>4</v>
      </c>
      <c r="L405" s="4">
        <v>2</v>
      </c>
      <c r="M405" s="5">
        <v>500</v>
      </c>
      <c r="N405">
        <f>L405*M405</f>
        <v>1000</v>
      </c>
      <c r="O405" s="15">
        <f>N405*$R$3</f>
        <v>15</v>
      </c>
    </row>
    <row r="406" spans="1:15">
      <c r="A406" s="2">
        <v>405</v>
      </c>
      <c r="B406" s="4">
        <f>YEAR(F406)</f>
        <v>2023</v>
      </c>
      <c r="C406" s="4">
        <f>MONTH(F406)</f>
        <v>11</v>
      </c>
      <c r="D406" s="4">
        <f>DAY(F406)</f>
        <v>6</v>
      </c>
      <c r="E406" s="4" t="str">
        <f t="shared" si="6"/>
        <v>Monday</v>
      </c>
      <c r="F406" s="3">
        <v>45236</v>
      </c>
      <c r="G406" s="4" t="s">
        <v>437</v>
      </c>
      <c r="H406" s="4" t="s">
        <v>7</v>
      </c>
      <c r="I406" s="4">
        <v>25</v>
      </c>
      <c r="J406" s="4" t="str" cm="1">
        <f t="array" ref="J406">_xlfn.IFS(I406&lt;30,"Young Adult", I406&lt;50,"Adult",I406 &gt;=50,"Seniors")</f>
        <v>Young Adult</v>
      </c>
      <c r="K406" s="4" t="s">
        <v>3</v>
      </c>
      <c r="L406" s="4">
        <v>4</v>
      </c>
      <c r="M406" s="5">
        <v>300</v>
      </c>
      <c r="N406">
        <f>L406*M406</f>
        <v>1200</v>
      </c>
      <c r="O406" s="15">
        <f>N406*$R$3</f>
        <v>18</v>
      </c>
    </row>
    <row r="407" spans="1:15">
      <c r="A407" s="2">
        <v>406</v>
      </c>
      <c r="B407" s="4">
        <f>YEAR(F407)</f>
        <v>2023</v>
      </c>
      <c r="C407" s="4">
        <f>MONTH(F407)</f>
        <v>4</v>
      </c>
      <c r="D407" s="4">
        <f>DAY(F407)</f>
        <v>18</v>
      </c>
      <c r="E407" s="4" t="str">
        <f t="shared" si="6"/>
        <v>Tuesday</v>
      </c>
      <c r="F407" s="3">
        <v>45034</v>
      </c>
      <c r="G407" s="4" t="s">
        <v>438</v>
      </c>
      <c r="H407" s="4" t="s">
        <v>7</v>
      </c>
      <c r="I407" s="4">
        <v>22</v>
      </c>
      <c r="J407" s="4" t="str" cm="1">
        <f t="array" ref="J407">_xlfn.IFS(I407&lt;30,"Young Adult", I407&lt;50,"Adult",I407 &gt;=50,"Seniors")</f>
        <v>Young Adult</v>
      </c>
      <c r="K407" s="4" t="s">
        <v>2</v>
      </c>
      <c r="L407" s="4">
        <v>4</v>
      </c>
      <c r="M407" s="5">
        <v>25</v>
      </c>
      <c r="N407">
        <f>L407*M407</f>
        <v>100</v>
      </c>
      <c r="O407" s="15">
        <f>N407*$R$3</f>
        <v>1.5</v>
      </c>
    </row>
    <row r="408" spans="1:15">
      <c r="A408" s="2">
        <v>407</v>
      </c>
      <c r="B408" s="4">
        <f>YEAR(F408)</f>
        <v>2023</v>
      </c>
      <c r="C408" s="4">
        <f>MONTH(F408)</f>
        <v>6</v>
      </c>
      <c r="D408" s="4">
        <f>DAY(F408)</f>
        <v>25</v>
      </c>
      <c r="E408" s="4" t="str">
        <f t="shared" si="6"/>
        <v>Sunday</v>
      </c>
      <c r="F408" s="3">
        <v>45102</v>
      </c>
      <c r="G408" s="4" t="s">
        <v>439</v>
      </c>
      <c r="H408" s="4" t="s">
        <v>7</v>
      </c>
      <c r="I408" s="4">
        <v>46</v>
      </c>
      <c r="J408" s="4" t="str" cm="1">
        <f t="array" ref="J408">_xlfn.IFS(I408&lt;30,"Young Adult", I408&lt;50,"Adult",I408 &gt;=50,"Seniors")</f>
        <v>Adult</v>
      </c>
      <c r="K408" s="4" t="s">
        <v>4</v>
      </c>
      <c r="L408" s="4">
        <v>3</v>
      </c>
      <c r="M408" s="5">
        <v>300</v>
      </c>
      <c r="N408">
        <f>L408*M408</f>
        <v>900</v>
      </c>
      <c r="O408" s="15">
        <f>N408*$R$3</f>
        <v>13.5</v>
      </c>
    </row>
    <row r="409" spans="1:15">
      <c r="A409" s="2">
        <v>408</v>
      </c>
      <c r="B409" s="4">
        <f>YEAR(F409)</f>
        <v>2023</v>
      </c>
      <c r="C409" s="4">
        <f>MONTH(F409)</f>
        <v>4</v>
      </c>
      <c r="D409" s="4">
        <f>DAY(F409)</f>
        <v>15</v>
      </c>
      <c r="E409" s="4" t="str">
        <f t="shared" si="6"/>
        <v>Saturday</v>
      </c>
      <c r="F409" s="3">
        <v>45031</v>
      </c>
      <c r="G409" s="4" t="s">
        <v>440</v>
      </c>
      <c r="H409" s="4" t="s">
        <v>7</v>
      </c>
      <c r="I409" s="4">
        <v>64</v>
      </c>
      <c r="J409" s="4" t="str" cm="1">
        <f t="array" ref="J409">_xlfn.IFS(I409&lt;30,"Young Adult", I409&lt;50,"Adult",I409 &gt;=50,"Seniors")</f>
        <v>Seniors</v>
      </c>
      <c r="K409" s="4" t="s">
        <v>2</v>
      </c>
      <c r="L409" s="4">
        <v>1</v>
      </c>
      <c r="M409" s="5">
        <v>500</v>
      </c>
      <c r="N409">
        <f>L409*M409</f>
        <v>500</v>
      </c>
      <c r="O409" s="15">
        <f>N409*$R$3</f>
        <v>7.5</v>
      </c>
    </row>
    <row r="410" spans="1:15">
      <c r="A410" s="2">
        <v>409</v>
      </c>
      <c r="B410" s="4">
        <f>YEAR(F410)</f>
        <v>2023</v>
      </c>
      <c r="C410" s="4">
        <f>MONTH(F410)</f>
        <v>12</v>
      </c>
      <c r="D410" s="4">
        <f>DAY(F410)</f>
        <v>18</v>
      </c>
      <c r="E410" s="4" t="str">
        <f t="shared" si="6"/>
        <v>Monday</v>
      </c>
      <c r="F410" s="3">
        <v>45278</v>
      </c>
      <c r="G410" s="4" t="s">
        <v>441</v>
      </c>
      <c r="H410" s="4" t="s">
        <v>7</v>
      </c>
      <c r="I410" s="4">
        <v>21</v>
      </c>
      <c r="J410" s="4" t="str" cm="1">
        <f t="array" ref="J410">_xlfn.IFS(I410&lt;30,"Young Adult", I410&lt;50,"Adult",I410 &gt;=50,"Seniors")</f>
        <v>Young Adult</v>
      </c>
      <c r="K410" s="4" t="s">
        <v>4</v>
      </c>
      <c r="L410" s="4">
        <v>3</v>
      </c>
      <c r="M410" s="5">
        <v>300</v>
      </c>
      <c r="N410">
        <f>L410*M410</f>
        <v>900</v>
      </c>
      <c r="O410" s="15">
        <f>N410*$R$3</f>
        <v>13.5</v>
      </c>
    </row>
    <row r="411" spans="1:15">
      <c r="A411" s="2">
        <v>410</v>
      </c>
      <c r="B411" s="4">
        <f>YEAR(F411)</f>
        <v>2023</v>
      </c>
      <c r="C411" s="4">
        <f>MONTH(F411)</f>
        <v>11</v>
      </c>
      <c r="D411" s="4">
        <f>DAY(F411)</f>
        <v>21</v>
      </c>
      <c r="E411" s="4" t="str">
        <f t="shared" si="6"/>
        <v>Tuesday</v>
      </c>
      <c r="F411" s="3">
        <v>45251</v>
      </c>
      <c r="G411" s="4" t="s">
        <v>442</v>
      </c>
      <c r="H411" s="4" t="s">
        <v>7</v>
      </c>
      <c r="I411" s="4">
        <v>29</v>
      </c>
      <c r="J411" s="4" t="str" cm="1">
        <f t="array" ref="J411">_xlfn.IFS(I411&lt;30,"Young Adult", I411&lt;50,"Adult",I411 &gt;=50,"Seniors")</f>
        <v>Young Adult</v>
      </c>
      <c r="K411" s="4" t="s">
        <v>3</v>
      </c>
      <c r="L411" s="4">
        <v>2</v>
      </c>
      <c r="M411" s="5">
        <v>50</v>
      </c>
      <c r="N411">
        <f>L411*M411</f>
        <v>100</v>
      </c>
      <c r="O411" s="15">
        <f>N411*$R$3</f>
        <v>1.5</v>
      </c>
    </row>
    <row r="412" spans="1:15">
      <c r="A412" s="2">
        <v>411</v>
      </c>
      <c r="B412" s="4">
        <f>YEAR(F412)</f>
        <v>2023</v>
      </c>
      <c r="C412" s="4">
        <f>MONTH(F412)</f>
        <v>5</v>
      </c>
      <c r="D412" s="4">
        <f>DAY(F412)</f>
        <v>16</v>
      </c>
      <c r="E412" s="4" t="str">
        <f t="shared" si="6"/>
        <v>Tuesday</v>
      </c>
      <c r="F412" s="3">
        <v>45062</v>
      </c>
      <c r="G412" s="4" t="s">
        <v>443</v>
      </c>
      <c r="H412" s="4" t="s">
        <v>8</v>
      </c>
      <c r="I412" s="4">
        <v>62</v>
      </c>
      <c r="J412" s="4" t="str" cm="1">
        <f t="array" ref="J412">_xlfn.IFS(I412&lt;30,"Young Adult", I412&lt;50,"Adult",I412 &gt;=50,"Seniors")</f>
        <v>Seniors</v>
      </c>
      <c r="K412" s="4" t="s">
        <v>4</v>
      </c>
      <c r="L412" s="4">
        <v>4</v>
      </c>
      <c r="M412" s="5">
        <v>50</v>
      </c>
      <c r="N412">
        <f>L412*M412</f>
        <v>200</v>
      </c>
      <c r="O412" s="15">
        <f>N412*$R$3</f>
        <v>3</v>
      </c>
    </row>
    <row r="413" spans="1:15">
      <c r="A413" s="2">
        <v>412</v>
      </c>
      <c r="B413" s="4">
        <f>YEAR(F413)</f>
        <v>2023</v>
      </c>
      <c r="C413" s="4">
        <f>MONTH(F413)</f>
        <v>9</v>
      </c>
      <c r="D413" s="4">
        <f>DAY(F413)</f>
        <v>16</v>
      </c>
      <c r="E413" s="4" t="str">
        <f t="shared" si="6"/>
        <v>Saturday</v>
      </c>
      <c r="F413" s="3">
        <v>45185</v>
      </c>
      <c r="G413" s="4" t="s">
        <v>444</v>
      </c>
      <c r="H413" s="4" t="s">
        <v>7</v>
      </c>
      <c r="I413" s="4">
        <v>19</v>
      </c>
      <c r="J413" s="4" t="str" cm="1">
        <f t="array" ref="J413">_xlfn.IFS(I413&lt;30,"Young Adult", I413&lt;50,"Adult",I413 &gt;=50,"Seniors")</f>
        <v>Young Adult</v>
      </c>
      <c r="K413" s="4" t="s">
        <v>4</v>
      </c>
      <c r="L413" s="4">
        <v>4</v>
      </c>
      <c r="M413" s="5">
        <v>500</v>
      </c>
      <c r="N413">
        <f>L413*M413</f>
        <v>2000</v>
      </c>
      <c r="O413" s="15">
        <f>N413*$R$3</f>
        <v>30</v>
      </c>
    </row>
    <row r="414" spans="1:15">
      <c r="A414" s="2">
        <v>413</v>
      </c>
      <c r="B414" s="4">
        <f>YEAR(F414)</f>
        <v>2023</v>
      </c>
      <c r="C414" s="4">
        <f>MONTH(F414)</f>
        <v>9</v>
      </c>
      <c r="D414" s="4">
        <f>DAY(F414)</f>
        <v>8</v>
      </c>
      <c r="E414" s="4" t="str">
        <f t="shared" si="6"/>
        <v>Friday</v>
      </c>
      <c r="F414" s="3">
        <v>45177</v>
      </c>
      <c r="G414" s="4" t="s">
        <v>445</v>
      </c>
      <c r="H414" s="4" t="s">
        <v>7</v>
      </c>
      <c r="I414" s="4">
        <v>44</v>
      </c>
      <c r="J414" s="4" t="str" cm="1">
        <f t="array" ref="J414">_xlfn.IFS(I414&lt;30,"Young Adult", I414&lt;50,"Adult",I414 &gt;=50,"Seniors")</f>
        <v>Adult</v>
      </c>
      <c r="K414" s="4" t="s">
        <v>2</v>
      </c>
      <c r="L414" s="4">
        <v>3</v>
      </c>
      <c r="M414" s="5">
        <v>25</v>
      </c>
      <c r="N414">
        <f>L414*M414</f>
        <v>75</v>
      </c>
      <c r="O414" s="15">
        <f>N414*$R$3</f>
        <v>1.125</v>
      </c>
    </row>
    <row r="415" spans="1:15">
      <c r="A415" s="2">
        <v>414</v>
      </c>
      <c r="B415" s="4">
        <f>YEAR(F415)</f>
        <v>2023</v>
      </c>
      <c r="C415" s="4">
        <f>MONTH(F415)</f>
        <v>5</v>
      </c>
      <c r="D415" s="4">
        <f>DAY(F415)</f>
        <v>9</v>
      </c>
      <c r="E415" s="4" t="str">
        <f t="shared" si="6"/>
        <v>Tuesday</v>
      </c>
      <c r="F415" s="3">
        <v>45055</v>
      </c>
      <c r="G415" s="4" t="s">
        <v>446</v>
      </c>
      <c r="H415" s="4" t="s">
        <v>8</v>
      </c>
      <c r="I415" s="4">
        <v>48</v>
      </c>
      <c r="J415" s="4" t="str" cm="1">
        <f t="array" ref="J415">_xlfn.IFS(I415&lt;30,"Young Adult", I415&lt;50,"Adult",I415 &gt;=50,"Seniors")</f>
        <v>Adult</v>
      </c>
      <c r="K415" s="4" t="s">
        <v>2</v>
      </c>
      <c r="L415" s="4">
        <v>4</v>
      </c>
      <c r="M415" s="5">
        <v>25</v>
      </c>
      <c r="N415">
        <f>L415*M415</f>
        <v>100</v>
      </c>
      <c r="O415" s="15">
        <f>N415*$R$3</f>
        <v>1.5</v>
      </c>
    </row>
    <row r="416" spans="1:15">
      <c r="A416" s="2">
        <v>415</v>
      </c>
      <c r="B416" s="4">
        <f>YEAR(F416)</f>
        <v>2023</v>
      </c>
      <c r="C416" s="4">
        <f>MONTH(F416)</f>
        <v>1</v>
      </c>
      <c r="D416" s="4">
        <f>DAY(F416)</f>
        <v>27</v>
      </c>
      <c r="E416" s="4" t="str">
        <f t="shared" si="6"/>
        <v>Friday</v>
      </c>
      <c r="F416" s="3">
        <v>44953</v>
      </c>
      <c r="G416" s="4" t="s">
        <v>447</v>
      </c>
      <c r="H416" s="4" t="s">
        <v>8</v>
      </c>
      <c r="I416" s="4">
        <v>53</v>
      </c>
      <c r="J416" s="4" t="str" cm="1">
        <f t="array" ref="J416">_xlfn.IFS(I416&lt;30,"Young Adult", I416&lt;50,"Adult",I416 &gt;=50,"Seniors")</f>
        <v>Seniors</v>
      </c>
      <c r="K416" s="4" t="s">
        <v>3</v>
      </c>
      <c r="L416" s="4">
        <v>2</v>
      </c>
      <c r="M416" s="5">
        <v>30</v>
      </c>
      <c r="N416">
        <f>L416*M416</f>
        <v>60</v>
      </c>
      <c r="O416" s="15">
        <f>N416*$R$3</f>
        <v>0.89999999999999991</v>
      </c>
    </row>
    <row r="417" spans="1:15">
      <c r="A417" s="2">
        <v>416</v>
      </c>
      <c r="B417" s="4">
        <f>YEAR(F417)</f>
        <v>2023</v>
      </c>
      <c r="C417" s="4">
        <f>MONTH(F417)</f>
        <v>2</v>
      </c>
      <c r="D417" s="4">
        <f>DAY(F417)</f>
        <v>17</v>
      </c>
      <c r="E417" s="4" t="str">
        <f t="shared" si="6"/>
        <v>Friday</v>
      </c>
      <c r="F417" s="3">
        <v>44974</v>
      </c>
      <c r="G417" s="4" t="s">
        <v>448</v>
      </c>
      <c r="H417" s="4" t="s">
        <v>8</v>
      </c>
      <c r="I417" s="4">
        <v>53</v>
      </c>
      <c r="J417" s="4" t="str" cm="1">
        <f t="array" ref="J417">_xlfn.IFS(I417&lt;30,"Young Adult", I417&lt;50,"Adult",I417 &gt;=50,"Seniors")</f>
        <v>Seniors</v>
      </c>
      <c r="K417" s="4" t="s">
        <v>4</v>
      </c>
      <c r="L417" s="4">
        <v>4</v>
      </c>
      <c r="M417" s="5">
        <v>500</v>
      </c>
      <c r="N417">
        <f>L417*M417</f>
        <v>2000</v>
      </c>
      <c r="O417" s="15">
        <f>N417*$R$3</f>
        <v>30</v>
      </c>
    </row>
    <row r="418" spans="1:15">
      <c r="A418" s="2">
        <v>417</v>
      </c>
      <c r="B418" s="4">
        <f>YEAR(F418)</f>
        <v>2023</v>
      </c>
      <c r="C418" s="4">
        <f>MONTH(F418)</f>
        <v>11</v>
      </c>
      <c r="D418" s="4">
        <f>DAY(F418)</f>
        <v>21</v>
      </c>
      <c r="E418" s="4" t="str">
        <f t="shared" si="6"/>
        <v>Tuesday</v>
      </c>
      <c r="F418" s="3">
        <v>45251</v>
      </c>
      <c r="G418" s="4" t="s">
        <v>449</v>
      </c>
      <c r="H418" s="4" t="s">
        <v>8</v>
      </c>
      <c r="I418" s="4">
        <v>43</v>
      </c>
      <c r="J418" s="4" t="str" cm="1">
        <f t="array" ref="J418">_xlfn.IFS(I418&lt;30,"Young Adult", I418&lt;50,"Adult",I418 &gt;=50,"Seniors")</f>
        <v>Adult</v>
      </c>
      <c r="K418" s="4" t="s">
        <v>4</v>
      </c>
      <c r="L418" s="4">
        <v>3</v>
      </c>
      <c r="M418" s="5">
        <v>300</v>
      </c>
      <c r="N418">
        <f>L418*M418</f>
        <v>900</v>
      </c>
      <c r="O418" s="15">
        <f>N418*$R$3</f>
        <v>13.5</v>
      </c>
    </row>
    <row r="419" spans="1:15">
      <c r="A419" s="2">
        <v>418</v>
      </c>
      <c r="B419" s="4">
        <f>YEAR(F419)</f>
        <v>2023</v>
      </c>
      <c r="C419" s="4">
        <f>MONTH(F419)</f>
        <v>8</v>
      </c>
      <c r="D419" s="4">
        <f>DAY(F419)</f>
        <v>5</v>
      </c>
      <c r="E419" s="4" t="str">
        <f t="shared" si="6"/>
        <v>Saturday</v>
      </c>
      <c r="F419" s="3">
        <v>45143</v>
      </c>
      <c r="G419" s="4" t="s">
        <v>450</v>
      </c>
      <c r="H419" s="4" t="s">
        <v>7</v>
      </c>
      <c r="I419" s="4">
        <v>60</v>
      </c>
      <c r="J419" s="4" t="str" cm="1">
        <f t="array" ref="J419">_xlfn.IFS(I419&lt;30,"Young Adult", I419&lt;50,"Adult",I419 &gt;=50,"Seniors")</f>
        <v>Seniors</v>
      </c>
      <c r="K419" s="4" t="s">
        <v>4</v>
      </c>
      <c r="L419" s="4">
        <v>2</v>
      </c>
      <c r="M419" s="5">
        <v>500</v>
      </c>
      <c r="N419">
        <f>L419*M419</f>
        <v>1000</v>
      </c>
      <c r="O419" s="15">
        <f>N419*$R$3</f>
        <v>15</v>
      </c>
    </row>
    <row r="420" spans="1:15">
      <c r="A420" s="2">
        <v>419</v>
      </c>
      <c r="B420" s="4">
        <f>YEAR(F420)</f>
        <v>2023</v>
      </c>
      <c r="C420" s="4">
        <f>MONTH(F420)</f>
        <v>5</v>
      </c>
      <c r="D420" s="4">
        <f>DAY(F420)</f>
        <v>22</v>
      </c>
      <c r="E420" s="4" t="str">
        <f t="shared" si="6"/>
        <v>Monday</v>
      </c>
      <c r="F420" s="3">
        <v>45068</v>
      </c>
      <c r="G420" s="4" t="s">
        <v>451</v>
      </c>
      <c r="H420" s="4" t="s">
        <v>7</v>
      </c>
      <c r="I420" s="4">
        <v>44</v>
      </c>
      <c r="J420" s="4" t="str" cm="1">
        <f t="array" ref="J420">_xlfn.IFS(I420&lt;30,"Young Adult", I420&lt;50,"Adult",I420 &gt;=50,"Seniors")</f>
        <v>Adult</v>
      </c>
      <c r="K420" s="4" t="s">
        <v>3</v>
      </c>
      <c r="L420" s="4">
        <v>3</v>
      </c>
      <c r="M420" s="5">
        <v>30</v>
      </c>
      <c r="N420">
        <f>L420*M420</f>
        <v>90</v>
      </c>
      <c r="O420" s="15">
        <f>N420*$R$3</f>
        <v>1.3499999999999999</v>
      </c>
    </row>
    <row r="421" spans="1:15">
      <c r="A421" s="2">
        <v>420</v>
      </c>
      <c r="B421" s="4">
        <f>YEAR(F421)</f>
        <v>2023</v>
      </c>
      <c r="C421" s="4">
        <f>MONTH(F421)</f>
        <v>1</v>
      </c>
      <c r="D421" s="4">
        <f>DAY(F421)</f>
        <v>23</v>
      </c>
      <c r="E421" s="4" t="str">
        <f t="shared" si="6"/>
        <v>Monday</v>
      </c>
      <c r="F421" s="3">
        <v>44949</v>
      </c>
      <c r="G421" s="4" t="s">
        <v>452</v>
      </c>
      <c r="H421" s="4" t="s">
        <v>7</v>
      </c>
      <c r="I421" s="4">
        <v>22</v>
      </c>
      <c r="J421" s="4" t="str" cm="1">
        <f t="array" ref="J421">_xlfn.IFS(I421&lt;30,"Young Adult", I421&lt;50,"Adult",I421 &gt;=50,"Seniors")</f>
        <v>Young Adult</v>
      </c>
      <c r="K421" s="4" t="s">
        <v>3</v>
      </c>
      <c r="L421" s="4">
        <v>4</v>
      </c>
      <c r="M421" s="5">
        <v>500</v>
      </c>
      <c r="N421">
        <f>L421*M421</f>
        <v>2000</v>
      </c>
      <c r="O421" s="15">
        <f>N421*$R$3</f>
        <v>30</v>
      </c>
    </row>
    <row r="422" spans="1:15">
      <c r="A422" s="2">
        <v>421</v>
      </c>
      <c r="B422" s="4">
        <f>YEAR(F422)</f>
        <v>2023</v>
      </c>
      <c r="C422" s="4">
        <f>MONTH(F422)</f>
        <v>1</v>
      </c>
      <c r="D422" s="4">
        <f>DAY(F422)</f>
        <v>2</v>
      </c>
      <c r="E422" s="4" t="str">
        <f t="shared" si="6"/>
        <v>Monday</v>
      </c>
      <c r="F422" s="3">
        <v>44928</v>
      </c>
      <c r="G422" s="4" t="s">
        <v>453</v>
      </c>
      <c r="H422" s="4" t="s">
        <v>7</v>
      </c>
      <c r="I422" s="4">
        <v>37</v>
      </c>
      <c r="J422" s="4" t="str" cm="1">
        <f t="array" ref="J422">_xlfn.IFS(I422&lt;30,"Young Adult", I422&lt;50,"Adult",I422 &gt;=50,"Seniors")</f>
        <v>Adult</v>
      </c>
      <c r="K422" s="4" t="s">
        <v>3</v>
      </c>
      <c r="L422" s="4">
        <v>3</v>
      </c>
      <c r="M422" s="5">
        <v>500</v>
      </c>
      <c r="N422">
        <f>L422*M422</f>
        <v>1500</v>
      </c>
      <c r="O422" s="15">
        <f>N422*$R$3</f>
        <v>22.5</v>
      </c>
    </row>
    <row r="423" spans="1:15">
      <c r="A423" s="2">
        <v>422</v>
      </c>
      <c r="B423" s="4">
        <f>YEAR(F423)</f>
        <v>2023</v>
      </c>
      <c r="C423" s="4">
        <f>MONTH(F423)</f>
        <v>6</v>
      </c>
      <c r="D423" s="4">
        <f>DAY(F423)</f>
        <v>20</v>
      </c>
      <c r="E423" s="4" t="str">
        <f t="shared" si="6"/>
        <v>Tuesday</v>
      </c>
      <c r="F423" s="3">
        <v>45097</v>
      </c>
      <c r="G423" s="4" t="s">
        <v>454</v>
      </c>
      <c r="H423" s="4" t="s">
        <v>7</v>
      </c>
      <c r="I423" s="4">
        <v>28</v>
      </c>
      <c r="J423" s="4" t="str" cm="1">
        <f t="array" ref="J423">_xlfn.IFS(I423&lt;30,"Young Adult", I423&lt;50,"Adult",I423 &gt;=50,"Seniors")</f>
        <v>Young Adult</v>
      </c>
      <c r="K423" s="4" t="s">
        <v>3</v>
      </c>
      <c r="L423" s="4">
        <v>3</v>
      </c>
      <c r="M423" s="5">
        <v>30</v>
      </c>
      <c r="N423">
        <f>L423*M423</f>
        <v>90</v>
      </c>
      <c r="O423" s="15">
        <f>N423*$R$3</f>
        <v>1.3499999999999999</v>
      </c>
    </row>
    <row r="424" spans="1:15">
      <c r="A424" s="2">
        <v>423</v>
      </c>
      <c r="B424" s="4">
        <f>YEAR(F424)</f>
        <v>2023</v>
      </c>
      <c r="C424" s="4">
        <f>MONTH(F424)</f>
        <v>3</v>
      </c>
      <c r="D424" s="4">
        <f>DAY(F424)</f>
        <v>8</v>
      </c>
      <c r="E424" s="4" t="str">
        <f t="shared" si="6"/>
        <v>Wednesday</v>
      </c>
      <c r="F424" s="3">
        <v>44993</v>
      </c>
      <c r="G424" s="4" t="s">
        <v>455</v>
      </c>
      <c r="H424" s="4" t="s">
        <v>7</v>
      </c>
      <c r="I424" s="4">
        <v>27</v>
      </c>
      <c r="J424" s="4" t="str" cm="1">
        <f t="array" ref="J424">_xlfn.IFS(I424&lt;30,"Young Adult", I424&lt;50,"Adult",I424 &gt;=50,"Seniors")</f>
        <v>Young Adult</v>
      </c>
      <c r="K424" s="4" t="s">
        <v>3</v>
      </c>
      <c r="L424" s="4">
        <v>1</v>
      </c>
      <c r="M424" s="5">
        <v>25</v>
      </c>
      <c r="N424">
        <f>L424*M424</f>
        <v>25</v>
      </c>
      <c r="O424" s="15">
        <f>N424*$R$3</f>
        <v>0.375</v>
      </c>
    </row>
    <row r="425" spans="1:15">
      <c r="A425" s="2">
        <v>424</v>
      </c>
      <c r="B425" s="4">
        <f>YEAR(F425)</f>
        <v>2023</v>
      </c>
      <c r="C425" s="4">
        <f>MONTH(F425)</f>
        <v>11</v>
      </c>
      <c r="D425" s="4">
        <f>DAY(F425)</f>
        <v>23</v>
      </c>
      <c r="E425" s="4" t="str">
        <f t="shared" si="6"/>
        <v>Thursday</v>
      </c>
      <c r="F425" s="3">
        <v>45253</v>
      </c>
      <c r="G425" s="4" t="s">
        <v>456</v>
      </c>
      <c r="H425" s="4" t="s">
        <v>8</v>
      </c>
      <c r="I425" s="4">
        <v>57</v>
      </c>
      <c r="J425" s="4" t="str" cm="1">
        <f t="array" ref="J425">_xlfn.IFS(I425&lt;30,"Young Adult", I425&lt;50,"Adult",I425 &gt;=50,"Seniors")</f>
        <v>Seniors</v>
      </c>
      <c r="K425" s="4" t="s">
        <v>2</v>
      </c>
      <c r="L425" s="4">
        <v>4</v>
      </c>
      <c r="M425" s="5">
        <v>300</v>
      </c>
      <c r="N425">
        <f>L425*M425</f>
        <v>1200</v>
      </c>
      <c r="O425" s="15">
        <f>N425*$R$3</f>
        <v>18</v>
      </c>
    </row>
    <row r="426" spans="1:15">
      <c r="A426" s="2">
        <v>425</v>
      </c>
      <c r="B426" s="4">
        <f>YEAR(F426)</f>
        <v>2023</v>
      </c>
      <c r="C426" s="4">
        <f>MONTH(F426)</f>
        <v>5</v>
      </c>
      <c r="D426" s="4">
        <f>DAY(F426)</f>
        <v>15</v>
      </c>
      <c r="E426" s="4" t="str">
        <f t="shared" si="6"/>
        <v>Monday</v>
      </c>
      <c r="F426" s="3">
        <v>45061</v>
      </c>
      <c r="G426" s="4" t="s">
        <v>457</v>
      </c>
      <c r="H426" s="4" t="s">
        <v>7</v>
      </c>
      <c r="I426" s="4">
        <v>55</v>
      </c>
      <c r="J426" s="4" t="str" cm="1">
        <f t="array" ref="J426">_xlfn.IFS(I426&lt;30,"Young Adult", I426&lt;50,"Adult",I426 &gt;=50,"Seniors")</f>
        <v>Seniors</v>
      </c>
      <c r="K426" s="4" t="s">
        <v>4</v>
      </c>
      <c r="L426" s="4">
        <v>4</v>
      </c>
      <c r="M426" s="5">
        <v>30</v>
      </c>
      <c r="N426">
        <f>L426*M426</f>
        <v>120</v>
      </c>
      <c r="O426" s="15">
        <f>N426*$R$3</f>
        <v>1.7999999999999998</v>
      </c>
    </row>
    <row r="427" spans="1:15">
      <c r="A427" s="2">
        <v>426</v>
      </c>
      <c r="B427" s="4">
        <f>YEAR(F427)</f>
        <v>2023</v>
      </c>
      <c r="C427" s="4">
        <f>MONTH(F427)</f>
        <v>3</v>
      </c>
      <c r="D427" s="4">
        <f>DAY(F427)</f>
        <v>24</v>
      </c>
      <c r="E427" s="4" t="str">
        <f t="shared" si="6"/>
        <v>Friday</v>
      </c>
      <c r="F427" s="3">
        <v>45009</v>
      </c>
      <c r="G427" s="4" t="s">
        <v>458</v>
      </c>
      <c r="H427" s="4" t="s">
        <v>8</v>
      </c>
      <c r="I427" s="4">
        <v>23</v>
      </c>
      <c r="J427" s="4" t="str" cm="1">
        <f t="array" ref="J427">_xlfn.IFS(I427&lt;30,"Young Adult", I427&lt;50,"Adult",I427 &gt;=50,"Seniors")</f>
        <v>Young Adult</v>
      </c>
      <c r="K427" s="4" t="s">
        <v>4</v>
      </c>
      <c r="L427" s="4">
        <v>3</v>
      </c>
      <c r="M427" s="5">
        <v>50</v>
      </c>
      <c r="N427">
        <f>L427*M427</f>
        <v>150</v>
      </c>
      <c r="O427" s="15">
        <f>N427*$R$3</f>
        <v>2.25</v>
      </c>
    </row>
    <row r="428" spans="1:15">
      <c r="A428" s="2">
        <v>427</v>
      </c>
      <c r="B428" s="4">
        <f>YEAR(F428)</f>
        <v>2023</v>
      </c>
      <c r="C428" s="4">
        <f>MONTH(F428)</f>
        <v>8</v>
      </c>
      <c r="D428" s="4">
        <f>DAY(F428)</f>
        <v>15</v>
      </c>
      <c r="E428" s="4" t="str">
        <f t="shared" si="6"/>
        <v>Tuesday</v>
      </c>
      <c r="F428" s="3">
        <v>45153</v>
      </c>
      <c r="G428" s="4" t="s">
        <v>459</v>
      </c>
      <c r="H428" s="4" t="s">
        <v>8</v>
      </c>
      <c r="I428" s="4">
        <v>25</v>
      </c>
      <c r="J428" s="4" t="str" cm="1">
        <f t="array" ref="J428">_xlfn.IFS(I428&lt;30,"Young Adult", I428&lt;50,"Adult",I428 &gt;=50,"Seniors")</f>
        <v>Young Adult</v>
      </c>
      <c r="K428" s="4" t="s">
        <v>4</v>
      </c>
      <c r="L428" s="4">
        <v>1</v>
      </c>
      <c r="M428" s="5">
        <v>25</v>
      </c>
      <c r="N428">
        <f>L428*M428</f>
        <v>25</v>
      </c>
      <c r="O428" s="15">
        <f>N428*$R$3</f>
        <v>0.375</v>
      </c>
    </row>
    <row r="429" spans="1:15">
      <c r="A429" s="2">
        <v>428</v>
      </c>
      <c r="B429" s="4">
        <f>YEAR(F429)</f>
        <v>2023</v>
      </c>
      <c r="C429" s="4">
        <f>MONTH(F429)</f>
        <v>10</v>
      </c>
      <c r="D429" s="4">
        <f>DAY(F429)</f>
        <v>10</v>
      </c>
      <c r="E429" s="4" t="str">
        <f t="shared" si="6"/>
        <v>Tuesday</v>
      </c>
      <c r="F429" s="3">
        <v>45209</v>
      </c>
      <c r="G429" s="4" t="s">
        <v>460</v>
      </c>
      <c r="H429" s="4" t="s">
        <v>7</v>
      </c>
      <c r="I429" s="4">
        <v>40</v>
      </c>
      <c r="J429" s="4" t="str" cm="1">
        <f t="array" ref="J429">_xlfn.IFS(I429&lt;30,"Young Adult", I429&lt;50,"Adult",I429 &gt;=50,"Seniors")</f>
        <v>Adult</v>
      </c>
      <c r="K429" s="4" t="s">
        <v>4</v>
      </c>
      <c r="L429" s="4">
        <v>4</v>
      </c>
      <c r="M429" s="5">
        <v>50</v>
      </c>
      <c r="N429">
        <f>L429*M429</f>
        <v>200</v>
      </c>
      <c r="O429" s="15">
        <f>N429*$R$3</f>
        <v>3</v>
      </c>
    </row>
    <row r="430" spans="1:15">
      <c r="A430" s="2">
        <v>429</v>
      </c>
      <c r="B430" s="4">
        <f>YEAR(F430)</f>
        <v>2023</v>
      </c>
      <c r="C430" s="4">
        <f>MONTH(F430)</f>
        <v>12</v>
      </c>
      <c r="D430" s="4">
        <f>DAY(F430)</f>
        <v>28</v>
      </c>
      <c r="E430" s="4" t="str">
        <f t="shared" si="6"/>
        <v>Thursday</v>
      </c>
      <c r="F430" s="3">
        <v>45288</v>
      </c>
      <c r="G430" s="4" t="s">
        <v>461</v>
      </c>
      <c r="H430" s="4" t="s">
        <v>8</v>
      </c>
      <c r="I430" s="4">
        <v>64</v>
      </c>
      <c r="J430" s="4" t="str" cm="1">
        <f t="array" ref="J430">_xlfn.IFS(I430&lt;30,"Young Adult", I430&lt;50,"Adult",I430 &gt;=50,"Seniors")</f>
        <v>Seniors</v>
      </c>
      <c r="K430" s="4" t="s">
        <v>4</v>
      </c>
      <c r="L430" s="4">
        <v>2</v>
      </c>
      <c r="M430" s="5">
        <v>25</v>
      </c>
      <c r="N430">
        <f>L430*M430</f>
        <v>50</v>
      </c>
      <c r="O430" s="15">
        <f>N430*$R$3</f>
        <v>0.75</v>
      </c>
    </row>
    <row r="431" spans="1:15">
      <c r="A431" s="2">
        <v>430</v>
      </c>
      <c r="B431" s="4">
        <f>YEAR(F431)</f>
        <v>2023</v>
      </c>
      <c r="C431" s="4">
        <f>MONTH(F431)</f>
        <v>8</v>
      </c>
      <c r="D431" s="4">
        <f>DAY(F431)</f>
        <v>7</v>
      </c>
      <c r="E431" s="4" t="str">
        <f t="shared" si="6"/>
        <v>Monday</v>
      </c>
      <c r="F431" s="3">
        <v>45145</v>
      </c>
      <c r="G431" s="4" t="s">
        <v>462</v>
      </c>
      <c r="H431" s="4" t="s">
        <v>7</v>
      </c>
      <c r="I431" s="4">
        <v>43</v>
      </c>
      <c r="J431" s="4" t="str" cm="1">
        <f t="array" ref="J431">_xlfn.IFS(I431&lt;30,"Young Adult", I431&lt;50,"Adult",I431 &gt;=50,"Seniors")</f>
        <v>Adult</v>
      </c>
      <c r="K431" s="4" t="s">
        <v>4</v>
      </c>
      <c r="L431" s="4">
        <v>3</v>
      </c>
      <c r="M431" s="5">
        <v>300</v>
      </c>
      <c r="N431">
        <f>L431*M431</f>
        <v>900</v>
      </c>
      <c r="O431" s="15">
        <f>N431*$R$3</f>
        <v>13.5</v>
      </c>
    </row>
    <row r="432" spans="1:15">
      <c r="A432" s="2">
        <v>431</v>
      </c>
      <c r="B432" s="4">
        <f>YEAR(F432)</f>
        <v>2023</v>
      </c>
      <c r="C432" s="4">
        <f>MONTH(F432)</f>
        <v>10</v>
      </c>
      <c r="D432" s="4">
        <f>DAY(F432)</f>
        <v>15</v>
      </c>
      <c r="E432" s="4" t="str">
        <f t="shared" si="6"/>
        <v>Sunday</v>
      </c>
      <c r="F432" s="3">
        <v>45214</v>
      </c>
      <c r="G432" s="4" t="s">
        <v>463</v>
      </c>
      <c r="H432" s="4" t="s">
        <v>8</v>
      </c>
      <c r="I432" s="4">
        <v>63</v>
      </c>
      <c r="J432" s="4" t="str" cm="1">
        <f t="array" ref="J432">_xlfn.IFS(I432&lt;30,"Young Adult", I432&lt;50,"Adult",I432 &gt;=50,"Seniors")</f>
        <v>Seniors</v>
      </c>
      <c r="K432" s="4" t="s">
        <v>4</v>
      </c>
      <c r="L432" s="4">
        <v>4</v>
      </c>
      <c r="M432" s="5">
        <v>300</v>
      </c>
      <c r="N432">
        <f>L432*M432</f>
        <v>1200</v>
      </c>
      <c r="O432" s="15">
        <f>N432*$R$3</f>
        <v>18</v>
      </c>
    </row>
    <row r="433" spans="1:15">
      <c r="A433" s="2">
        <v>432</v>
      </c>
      <c r="B433" s="4">
        <f>YEAR(F433)</f>
        <v>2023</v>
      </c>
      <c r="C433" s="4">
        <f>MONTH(F433)</f>
        <v>1</v>
      </c>
      <c r="D433" s="4">
        <f>DAY(F433)</f>
        <v>5</v>
      </c>
      <c r="E433" s="4" t="str">
        <f t="shared" si="6"/>
        <v>Thursday</v>
      </c>
      <c r="F433" s="3">
        <v>44931</v>
      </c>
      <c r="G433" s="4" t="s">
        <v>464</v>
      </c>
      <c r="H433" s="4" t="s">
        <v>7</v>
      </c>
      <c r="I433" s="4">
        <v>60</v>
      </c>
      <c r="J433" s="4" t="str" cm="1">
        <f t="array" ref="J433">_xlfn.IFS(I433&lt;30,"Young Adult", I433&lt;50,"Adult",I433 &gt;=50,"Seniors")</f>
        <v>Seniors</v>
      </c>
      <c r="K433" s="4" t="s">
        <v>4</v>
      </c>
      <c r="L433" s="4">
        <v>2</v>
      </c>
      <c r="M433" s="5">
        <v>500</v>
      </c>
      <c r="N433">
        <f>L433*M433</f>
        <v>1000</v>
      </c>
      <c r="O433" s="15">
        <f>N433*$R$3</f>
        <v>15</v>
      </c>
    </row>
    <row r="434" spans="1:15">
      <c r="A434" s="2">
        <v>433</v>
      </c>
      <c r="B434" s="4">
        <f>YEAR(F434)</f>
        <v>2023</v>
      </c>
      <c r="C434" s="4">
        <f>MONTH(F434)</f>
        <v>2</v>
      </c>
      <c r="D434" s="4">
        <f>DAY(F434)</f>
        <v>27</v>
      </c>
      <c r="E434" s="4" t="str">
        <f t="shared" si="6"/>
        <v>Monday</v>
      </c>
      <c r="F434" s="3">
        <v>44984</v>
      </c>
      <c r="G434" s="4" t="s">
        <v>465</v>
      </c>
      <c r="H434" s="4" t="s">
        <v>8</v>
      </c>
      <c r="I434" s="4">
        <v>29</v>
      </c>
      <c r="J434" s="4" t="str" cm="1">
        <f t="array" ref="J434">_xlfn.IFS(I434&lt;30,"Young Adult", I434&lt;50,"Adult",I434 &gt;=50,"Seniors")</f>
        <v>Young Adult</v>
      </c>
      <c r="K434" s="4" t="s">
        <v>2</v>
      </c>
      <c r="L434" s="4">
        <v>4</v>
      </c>
      <c r="M434" s="5">
        <v>50</v>
      </c>
      <c r="N434">
        <f>L434*M434</f>
        <v>200</v>
      </c>
      <c r="O434" s="15">
        <f>N434*$R$3</f>
        <v>3</v>
      </c>
    </row>
    <row r="435" spans="1:15">
      <c r="A435" s="2">
        <v>434</v>
      </c>
      <c r="B435" s="4">
        <f>YEAR(F435)</f>
        <v>2023</v>
      </c>
      <c r="C435" s="4">
        <f>MONTH(F435)</f>
        <v>2</v>
      </c>
      <c r="D435" s="4">
        <f>DAY(F435)</f>
        <v>8</v>
      </c>
      <c r="E435" s="4" t="str">
        <f t="shared" si="6"/>
        <v>Wednesday</v>
      </c>
      <c r="F435" s="3">
        <v>44965</v>
      </c>
      <c r="G435" s="4" t="s">
        <v>466</v>
      </c>
      <c r="H435" s="4" t="s">
        <v>7</v>
      </c>
      <c r="I435" s="4">
        <v>43</v>
      </c>
      <c r="J435" s="4" t="str" cm="1">
        <f t="array" ref="J435">_xlfn.IFS(I435&lt;30,"Young Adult", I435&lt;50,"Adult",I435 &gt;=50,"Seniors")</f>
        <v>Adult</v>
      </c>
      <c r="K435" s="4" t="s">
        <v>4</v>
      </c>
      <c r="L435" s="4">
        <v>2</v>
      </c>
      <c r="M435" s="5">
        <v>25</v>
      </c>
      <c r="N435">
        <f>L435*M435</f>
        <v>50</v>
      </c>
      <c r="O435" s="15">
        <f>N435*$R$3</f>
        <v>0.75</v>
      </c>
    </row>
    <row r="436" spans="1:15">
      <c r="A436" s="2">
        <v>435</v>
      </c>
      <c r="B436" s="4">
        <f>YEAR(F436)</f>
        <v>2023</v>
      </c>
      <c r="C436" s="4">
        <f>MONTH(F436)</f>
        <v>12</v>
      </c>
      <c r="D436" s="4">
        <f>DAY(F436)</f>
        <v>20</v>
      </c>
      <c r="E436" s="4" t="str">
        <f t="shared" si="6"/>
        <v>Wednesday</v>
      </c>
      <c r="F436" s="3">
        <v>45280</v>
      </c>
      <c r="G436" s="4" t="s">
        <v>467</v>
      </c>
      <c r="H436" s="4" t="s">
        <v>7</v>
      </c>
      <c r="I436" s="4">
        <v>30</v>
      </c>
      <c r="J436" s="4" t="str" cm="1">
        <f t="array" ref="J436">_xlfn.IFS(I436&lt;30,"Young Adult", I436&lt;50,"Adult",I436 &gt;=50,"Seniors")</f>
        <v>Adult</v>
      </c>
      <c r="K436" s="4" t="s">
        <v>2</v>
      </c>
      <c r="L436" s="4">
        <v>3</v>
      </c>
      <c r="M436" s="5">
        <v>300</v>
      </c>
      <c r="N436">
        <f>L436*M436</f>
        <v>900</v>
      </c>
      <c r="O436" s="15">
        <f>N436*$R$3</f>
        <v>13.5</v>
      </c>
    </row>
    <row r="437" spans="1:15">
      <c r="A437" s="2">
        <v>436</v>
      </c>
      <c r="B437" s="4">
        <f>YEAR(F437)</f>
        <v>2023</v>
      </c>
      <c r="C437" s="4">
        <f>MONTH(F437)</f>
        <v>3</v>
      </c>
      <c r="D437" s="4">
        <f>DAY(F437)</f>
        <v>18</v>
      </c>
      <c r="E437" s="4" t="str">
        <f t="shared" si="6"/>
        <v>Saturday</v>
      </c>
      <c r="F437" s="3">
        <v>45003</v>
      </c>
      <c r="G437" s="4" t="s">
        <v>468</v>
      </c>
      <c r="H437" s="4" t="s">
        <v>7</v>
      </c>
      <c r="I437" s="4">
        <v>57</v>
      </c>
      <c r="J437" s="4" t="str" cm="1">
        <f t="array" ref="J437">_xlfn.IFS(I437&lt;30,"Young Adult", I437&lt;50,"Adult",I437 &gt;=50,"Seniors")</f>
        <v>Seniors</v>
      </c>
      <c r="K437" s="4" t="s">
        <v>3</v>
      </c>
      <c r="L437" s="4">
        <v>4</v>
      </c>
      <c r="M437" s="5">
        <v>30</v>
      </c>
      <c r="N437">
        <f>L437*M437</f>
        <v>120</v>
      </c>
      <c r="O437" s="15">
        <f>N437*$R$3</f>
        <v>1.7999999999999998</v>
      </c>
    </row>
    <row r="438" spans="1:15">
      <c r="A438" s="2">
        <v>437</v>
      </c>
      <c r="B438" s="4">
        <f>YEAR(F438)</f>
        <v>2023</v>
      </c>
      <c r="C438" s="4">
        <f>MONTH(F438)</f>
        <v>10</v>
      </c>
      <c r="D438" s="4">
        <f>DAY(F438)</f>
        <v>7</v>
      </c>
      <c r="E438" s="4" t="str">
        <f t="shared" si="6"/>
        <v>Saturday</v>
      </c>
      <c r="F438" s="3">
        <v>45206</v>
      </c>
      <c r="G438" s="4" t="s">
        <v>469</v>
      </c>
      <c r="H438" s="4" t="s">
        <v>7</v>
      </c>
      <c r="I438" s="4">
        <v>35</v>
      </c>
      <c r="J438" s="4" t="str" cm="1">
        <f t="array" ref="J438">_xlfn.IFS(I438&lt;30,"Young Adult", I438&lt;50,"Adult",I438 &gt;=50,"Seniors")</f>
        <v>Adult</v>
      </c>
      <c r="K438" s="4" t="s">
        <v>4</v>
      </c>
      <c r="L438" s="4">
        <v>4</v>
      </c>
      <c r="M438" s="5">
        <v>300</v>
      </c>
      <c r="N438">
        <f>L438*M438</f>
        <v>1200</v>
      </c>
      <c r="O438" s="15">
        <f>N438*$R$3</f>
        <v>18</v>
      </c>
    </row>
    <row r="439" spans="1:15">
      <c r="A439" s="2">
        <v>438</v>
      </c>
      <c r="B439" s="4">
        <f>YEAR(F439)</f>
        <v>2023</v>
      </c>
      <c r="C439" s="4">
        <f>MONTH(F439)</f>
        <v>1</v>
      </c>
      <c r="D439" s="4">
        <f>DAY(F439)</f>
        <v>19</v>
      </c>
      <c r="E439" s="4" t="str">
        <f t="shared" si="6"/>
        <v>Thursday</v>
      </c>
      <c r="F439" s="3">
        <v>44945</v>
      </c>
      <c r="G439" s="4" t="s">
        <v>470</v>
      </c>
      <c r="H439" s="4" t="s">
        <v>7</v>
      </c>
      <c r="I439" s="4">
        <v>42</v>
      </c>
      <c r="J439" s="4" t="str" cm="1">
        <f t="array" ref="J439">_xlfn.IFS(I439&lt;30,"Young Adult", I439&lt;50,"Adult",I439 &gt;=50,"Seniors")</f>
        <v>Adult</v>
      </c>
      <c r="K439" s="4" t="s">
        <v>3</v>
      </c>
      <c r="L439" s="4">
        <v>1</v>
      </c>
      <c r="M439" s="5">
        <v>30</v>
      </c>
      <c r="N439">
        <f>L439*M439</f>
        <v>30</v>
      </c>
      <c r="O439" s="15">
        <f>N439*$R$3</f>
        <v>0.44999999999999996</v>
      </c>
    </row>
    <row r="440" spans="1:15">
      <c r="A440" s="2">
        <v>439</v>
      </c>
      <c r="B440" s="4">
        <f>YEAR(F440)</f>
        <v>2023</v>
      </c>
      <c r="C440" s="4">
        <f>MONTH(F440)</f>
        <v>7</v>
      </c>
      <c r="D440" s="4">
        <f>DAY(F440)</f>
        <v>9</v>
      </c>
      <c r="E440" s="4" t="str">
        <f t="shared" si="6"/>
        <v>Sunday</v>
      </c>
      <c r="F440" s="3">
        <v>45116</v>
      </c>
      <c r="G440" s="4" t="s">
        <v>471</v>
      </c>
      <c r="H440" s="4" t="s">
        <v>8</v>
      </c>
      <c r="I440" s="4">
        <v>50</v>
      </c>
      <c r="J440" s="4" t="str" cm="1">
        <f t="array" ref="J440">_xlfn.IFS(I440&lt;30,"Young Adult", I440&lt;50,"Adult",I440 &gt;=50,"Seniors")</f>
        <v>Seniors</v>
      </c>
      <c r="K440" s="4" t="s">
        <v>3</v>
      </c>
      <c r="L440" s="4">
        <v>3</v>
      </c>
      <c r="M440" s="5">
        <v>25</v>
      </c>
      <c r="N440">
        <f>L440*M440</f>
        <v>75</v>
      </c>
      <c r="O440" s="15">
        <f>N440*$R$3</f>
        <v>1.125</v>
      </c>
    </row>
    <row r="441" spans="1:15">
      <c r="A441" s="2">
        <v>440</v>
      </c>
      <c r="B441" s="4">
        <f>YEAR(F441)</f>
        <v>2023</v>
      </c>
      <c r="C441" s="4">
        <f>MONTH(F441)</f>
        <v>10</v>
      </c>
      <c r="D441" s="4">
        <f>DAY(F441)</f>
        <v>26</v>
      </c>
      <c r="E441" s="4" t="str">
        <f t="shared" si="6"/>
        <v>Thursday</v>
      </c>
      <c r="F441" s="3">
        <v>45225</v>
      </c>
      <c r="G441" s="4" t="s">
        <v>472</v>
      </c>
      <c r="H441" s="4" t="s">
        <v>8</v>
      </c>
      <c r="I441" s="4">
        <v>64</v>
      </c>
      <c r="J441" s="4" t="str" cm="1">
        <f t="array" ref="J441">_xlfn.IFS(I441&lt;30,"Young Adult", I441&lt;50,"Adult",I441 &gt;=50,"Seniors")</f>
        <v>Seniors</v>
      </c>
      <c r="K441" s="4" t="s">
        <v>3</v>
      </c>
      <c r="L441" s="4">
        <v>2</v>
      </c>
      <c r="M441" s="5">
        <v>300</v>
      </c>
      <c r="N441">
        <f>L441*M441</f>
        <v>600</v>
      </c>
      <c r="O441" s="15">
        <f>N441*$R$3</f>
        <v>9</v>
      </c>
    </row>
    <row r="442" spans="1:15">
      <c r="A442" s="2">
        <v>441</v>
      </c>
      <c r="B442" s="4">
        <f>YEAR(F442)</f>
        <v>2023</v>
      </c>
      <c r="C442" s="4">
        <f>MONTH(F442)</f>
        <v>10</v>
      </c>
      <c r="D442" s="4">
        <f>DAY(F442)</f>
        <v>10</v>
      </c>
      <c r="E442" s="4" t="str">
        <f t="shared" si="6"/>
        <v>Tuesday</v>
      </c>
      <c r="F442" s="3">
        <v>45209</v>
      </c>
      <c r="G442" s="4" t="s">
        <v>473</v>
      </c>
      <c r="H442" s="4" t="s">
        <v>8</v>
      </c>
      <c r="I442" s="4">
        <v>57</v>
      </c>
      <c r="J442" s="4" t="str" cm="1">
        <f t="array" ref="J442">_xlfn.IFS(I442&lt;30,"Young Adult", I442&lt;50,"Adult",I442 &gt;=50,"Seniors")</f>
        <v>Seniors</v>
      </c>
      <c r="K442" s="4" t="s">
        <v>2</v>
      </c>
      <c r="L442" s="4">
        <v>4</v>
      </c>
      <c r="M442" s="5">
        <v>300</v>
      </c>
      <c r="N442">
        <f>L442*M442</f>
        <v>1200</v>
      </c>
      <c r="O442" s="15">
        <f>N442*$R$3</f>
        <v>18</v>
      </c>
    </row>
    <row r="443" spans="1:15">
      <c r="A443" s="2">
        <v>442</v>
      </c>
      <c r="B443" s="4">
        <f>YEAR(F443)</f>
        <v>2023</v>
      </c>
      <c r="C443" s="4">
        <f>MONTH(F443)</f>
        <v>3</v>
      </c>
      <c r="D443" s="4">
        <f>DAY(F443)</f>
        <v>17</v>
      </c>
      <c r="E443" s="4" t="str">
        <f t="shared" si="6"/>
        <v>Friday</v>
      </c>
      <c r="F443" s="3">
        <v>45002</v>
      </c>
      <c r="G443" s="4" t="s">
        <v>474</v>
      </c>
      <c r="H443" s="4" t="s">
        <v>7</v>
      </c>
      <c r="I443" s="4">
        <v>60</v>
      </c>
      <c r="J443" s="4" t="str" cm="1">
        <f t="array" ref="J443">_xlfn.IFS(I443&lt;30,"Young Adult", I443&lt;50,"Adult",I443 &gt;=50,"Seniors")</f>
        <v>Seniors</v>
      </c>
      <c r="K443" s="4" t="s">
        <v>3</v>
      </c>
      <c r="L443" s="4">
        <v>4</v>
      </c>
      <c r="M443" s="5">
        <v>25</v>
      </c>
      <c r="N443">
        <f>L443*M443</f>
        <v>100</v>
      </c>
      <c r="O443" s="15">
        <f>N443*$R$3</f>
        <v>1.5</v>
      </c>
    </row>
    <row r="444" spans="1:15">
      <c r="A444" s="2">
        <v>443</v>
      </c>
      <c r="B444" s="4">
        <f>YEAR(F444)</f>
        <v>2023</v>
      </c>
      <c r="C444" s="4">
        <f>MONTH(F444)</f>
        <v>8</v>
      </c>
      <c r="D444" s="4">
        <f>DAY(F444)</f>
        <v>9</v>
      </c>
      <c r="E444" s="4" t="str">
        <f t="shared" si="6"/>
        <v>Wednesday</v>
      </c>
      <c r="F444" s="3">
        <v>45147</v>
      </c>
      <c r="G444" s="4" t="s">
        <v>475</v>
      </c>
      <c r="H444" s="4" t="s">
        <v>8</v>
      </c>
      <c r="I444" s="4">
        <v>29</v>
      </c>
      <c r="J444" s="4" t="str" cm="1">
        <f t="array" ref="J444">_xlfn.IFS(I444&lt;30,"Young Adult", I444&lt;50,"Adult",I444 &gt;=50,"Seniors")</f>
        <v>Young Adult</v>
      </c>
      <c r="K444" s="4" t="s">
        <v>3</v>
      </c>
      <c r="L444" s="4">
        <v>2</v>
      </c>
      <c r="M444" s="5">
        <v>300</v>
      </c>
      <c r="N444">
        <f>L444*M444</f>
        <v>600</v>
      </c>
      <c r="O444" s="15">
        <f>N444*$R$3</f>
        <v>9</v>
      </c>
    </row>
    <row r="445" spans="1:15">
      <c r="A445" s="2">
        <v>444</v>
      </c>
      <c r="B445" s="4">
        <f>YEAR(F445)</f>
        <v>2023</v>
      </c>
      <c r="C445" s="4">
        <f>MONTH(F445)</f>
        <v>3</v>
      </c>
      <c r="D445" s="4">
        <f>DAY(F445)</f>
        <v>7</v>
      </c>
      <c r="E445" s="4" t="str">
        <f t="shared" si="6"/>
        <v>Tuesday</v>
      </c>
      <c r="F445" s="3">
        <v>44992</v>
      </c>
      <c r="G445" s="4" t="s">
        <v>476</v>
      </c>
      <c r="H445" s="4" t="s">
        <v>7</v>
      </c>
      <c r="I445" s="4">
        <v>61</v>
      </c>
      <c r="J445" s="4" t="str" cm="1">
        <f t="array" ref="J445">_xlfn.IFS(I445&lt;30,"Young Adult", I445&lt;50,"Adult",I445 &gt;=50,"Seniors")</f>
        <v>Seniors</v>
      </c>
      <c r="K445" s="4" t="s">
        <v>3</v>
      </c>
      <c r="L445" s="4">
        <v>3</v>
      </c>
      <c r="M445" s="5">
        <v>30</v>
      </c>
      <c r="N445">
        <f>L445*M445</f>
        <v>90</v>
      </c>
      <c r="O445" s="15">
        <f>N445*$R$3</f>
        <v>1.3499999999999999</v>
      </c>
    </row>
    <row r="446" spans="1:15">
      <c r="A446" s="2">
        <v>445</v>
      </c>
      <c r="B446" s="4">
        <f>YEAR(F446)</f>
        <v>2023</v>
      </c>
      <c r="C446" s="4">
        <f>MONTH(F446)</f>
        <v>1</v>
      </c>
      <c r="D446" s="4">
        <f>DAY(F446)</f>
        <v>22</v>
      </c>
      <c r="E446" s="4" t="str">
        <f t="shared" si="6"/>
        <v>Sunday</v>
      </c>
      <c r="F446" s="3">
        <v>44948</v>
      </c>
      <c r="G446" s="4" t="s">
        <v>477</v>
      </c>
      <c r="H446" s="4" t="s">
        <v>7</v>
      </c>
      <c r="I446" s="4">
        <v>53</v>
      </c>
      <c r="J446" s="4" t="str" cm="1">
        <f t="array" ref="J446">_xlfn.IFS(I446&lt;30,"Young Adult", I446&lt;50,"Adult",I446 &gt;=50,"Seniors")</f>
        <v>Seniors</v>
      </c>
      <c r="K446" s="4" t="s">
        <v>4</v>
      </c>
      <c r="L446" s="4">
        <v>1</v>
      </c>
      <c r="M446" s="5">
        <v>300</v>
      </c>
      <c r="N446">
        <f>L446*M446</f>
        <v>300</v>
      </c>
      <c r="O446" s="15">
        <f>N446*$R$3</f>
        <v>4.5</v>
      </c>
    </row>
    <row r="447" spans="1:15">
      <c r="A447" s="2">
        <v>446</v>
      </c>
      <c r="B447" s="4">
        <f>YEAR(F447)</f>
        <v>2023</v>
      </c>
      <c r="C447" s="4">
        <f>MONTH(F447)</f>
        <v>6</v>
      </c>
      <c r="D447" s="4">
        <f>DAY(F447)</f>
        <v>7</v>
      </c>
      <c r="E447" s="4" t="str">
        <f t="shared" si="6"/>
        <v>Wednesday</v>
      </c>
      <c r="F447" s="3">
        <v>45084</v>
      </c>
      <c r="G447" s="4" t="s">
        <v>478</v>
      </c>
      <c r="H447" s="4" t="s">
        <v>8</v>
      </c>
      <c r="I447" s="4">
        <v>21</v>
      </c>
      <c r="J447" s="4" t="str" cm="1">
        <f t="array" ref="J447">_xlfn.IFS(I447&lt;30,"Young Adult", I447&lt;50,"Adult",I447 &gt;=50,"Seniors")</f>
        <v>Young Adult</v>
      </c>
      <c r="K447" s="4" t="s">
        <v>4</v>
      </c>
      <c r="L447" s="4">
        <v>1</v>
      </c>
      <c r="M447" s="5">
        <v>50</v>
      </c>
      <c r="N447">
        <f>L447*M447</f>
        <v>50</v>
      </c>
      <c r="O447" s="15">
        <f>N447*$R$3</f>
        <v>0.75</v>
      </c>
    </row>
    <row r="448" spans="1:15">
      <c r="A448" s="2">
        <v>447</v>
      </c>
      <c r="B448" s="4">
        <f>YEAR(F448)</f>
        <v>2023</v>
      </c>
      <c r="C448" s="4">
        <f>MONTH(F448)</f>
        <v>7</v>
      </c>
      <c r="D448" s="4">
        <f>DAY(F448)</f>
        <v>6</v>
      </c>
      <c r="E448" s="4" t="str">
        <f t="shared" si="6"/>
        <v>Thursday</v>
      </c>
      <c r="F448" s="3">
        <v>45113</v>
      </c>
      <c r="G448" s="4" t="s">
        <v>479</v>
      </c>
      <c r="H448" s="4" t="s">
        <v>8</v>
      </c>
      <c r="I448" s="4">
        <v>22</v>
      </c>
      <c r="J448" s="4" t="str" cm="1">
        <f t="array" ref="J448">_xlfn.IFS(I448&lt;30,"Young Adult", I448&lt;50,"Adult",I448 &gt;=50,"Seniors")</f>
        <v>Young Adult</v>
      </c>
      <c r="K448" s="4" t="s">
        <v>2</v>
      </c>
      <c r="L448" s="4">
        <v>4</v>
      </c>
      <c r="M448" s="5">
        <v>500</v>
      </c>
      <c r="N448">
        <f>L448*M448</f>
        <v>2000</v>
      </c>
      <c r="O448" s="15">
        <f>N448*$R$3</f>
        <v>30</v>
      </c>
    </row>
    <row r="449" spans="1:15">
      <c r="A449" s="2">
        <v>448</v>
      </c>
      <c r="B449" s="4">
        <f>YEAR(F449)</f>
        <v>2023</v>
      </c>
      <c r="C449" s="4">
        <f>MONTH(F449)</f>
        <v>1</v>
      </c>
      <c r="D449" s="4">
        <f>DAY(F449)</f>
        <v>21</v>
      </c>
      <c r="E449" s="4" t="str">
        <f t="shared" si="6"/>
        <v>Saturday</v>
      </c>
      <c r="F449" s="3">
        <v>44947</v>
      </c>
      <c r="G449" s="4" t="s">
        <v>480</v>
      </c>
      <c r="H449" s="4" t="s">
        <v>7</v>
      </c>
      <c r="I449" s="4">
        <v>54</v>
      </c>
      <c r="J449" s="4" t="str" cm="1">
        <f t="array" ref="J449">_xlfn.IFS(I449&lt;30,"Young Adult", I449&lt;50,"Adult",I449 &gt;=50,"Seniors")</f>
        <v>Seniors</v>
      </c>
      <c r="K449" s="4" t="s">
        <v>2</v>
      </c>
      <c r="L449" s="4">
        <v>2</v>
      </c>
      <c r="M449" s="5">
        <v>30</v>
      </c>
      <c r="N449">
        <f>L449*M449</f>
        <v>60</v>
      </c>
      <c r="O449" s="15">
        <f>N449*$R$3</f>
        <v>0.89999999999999991</v>
      </c>
    </row>
    <row r="450" spans="1:15">
      <c r="A450" s="2">
        <v>449</v>
      </c>
      <c r="B450" s="4">
        <f>YEAR(F450)</f>
        <v>2023</v>
      </c>
      <c r="C450" s="4">
        <f>MONTH(F450)</f>
        <v>7</v>
      </c>
      <c r="D450" s="4">
        <f>DAY(F450)</f>
        <v>3</v>
      </c>
      <c r="E450" s="4" t="str">
        <f t="shared" si="6"/>
        <v>Monday</v>
      </c>
      <c r="F450" s="3">
        <v>45110</v>
      </c>
      <c r="G450" s="4" t="s">
        <v>481</v>
      </c>
      <c r="H450" s="4" t="s">
        <v>8</v>
      </c>
      <c r="I450" s="4">
        <v>25</v>
      </c>
      <c r="J450" s="4" t="str" cm="1">
        <f t="array" ref="J450">_xlfn.IFS(I450&lt;30,"Young Adult", I450&lt;50,"Adult",I450 &gt;=50,"Seniors")</f>
        <v>Young Adult</v>
      </c>
      <c r="K450" s="4" t="s">
        <v>4</v>
      </c>
      <c r="L450" s="4">
        <v>4</v>
      </c>
      <c r="M450" s="5">
        <v>50</v>
      </c>
      <c r="N450">
        <f>L450*M450</f>
        <v>200</v>
      </c>
      <c r="O450" s="15">
        <f>N450*$R$3</f>
        <v>3</v>
      </c>
    </row>
    <row r="451" spans="1:15">
      <c r="A451" s="2">
        <v>450</v>
      </c>
      <c r="B451" s="4">
        <f>YEAR(F451)</f>
        <v>2023</v>
      </c>
      <c r="C451" s="4">
        <f>MONTH(F451)</f>
        <v>4</v>
      </c>
      <c r="D451" s="4">
        <f>DAY(F451)</f>
        <v>18</v>
      </c>
      <c r="E451" s="4" t="str">
        <f t="shared" ref="E451:E514" si="7">TEXT(F451,"dddd")</f>
        <v>Tuesday</v>
      </c>
      <c r="F451" s="3">
        <v>45034</v>
      </c>
      <c r="G451" s="4" t="s">
        <v>482</v>
      </c>
      <c r="H451" s="4" t="s">
        <v>7</v>
      </c>
      <c r="I451" s="4">
        <v>59</v>
      </c>
      <c r="J451" s="4" t="str" cm="1">
        <f t="array" ref="J451">_xlfn.IFS(I451&lt;30,"Young Adult", I451&lt;50,"Adult",I451 &gt;=50,"Seniors")</f>
        <v>Seniors</v>
      </c>
      <c r="K451" s="4" t="s">
        <v>2</v>
      </c>
      <c r="L451" s="4">
        <v>2</v>
      </c>
      <c r="M451" s="5">
        <v>25</v>
      </c>
      <c r="N451">
        <f>L451*M451</f>
        <v>50</v>
      </c>
      <c r="O451" s="15">
        <f>N451*$R$3</f>
        <v>0.75</v>
      </c>
    </row>
    <row r="452" spans="1:15">
      <c r="A452" s="2">
        <v>451</v>
      </c>
      <c r="B452" s="4">
        <f>YEAR(F452)</f>
        <v>2023</v>
      </c>
      <c r="C452" s="4">
        <f>MONTH(F452)</f>
        <v>12</v>
      </c>
      <c r="D452" s="4">
        <f>DAY(F452)</f>
        <v>16</v>
      </c>
      <c r="E452" s="4" t="str">
        <f t="shared" si="7"/>
        <v>Saturday</v>
      </c>
      <c r="F452" s="3">
        <v>45276</v>
      </c>
      <c r="G452" s="4" t="s">
        <v>483</v>
      </c>
      <c r="H452" s="4" t="s">
        <v>7</v>
      </c>
      <c r="I452" s="4">
        <v>45</v>
      </c>
      <c r="J452" s="4" t="str" cm="1">
        <f t="array" ref="J452">_xlfn.IFS(I452&lt;30,"Young Adult", I452&lt;50,"Adult",I452 &gt;=50,"Seniors")</f>
        <v>Adult</v>
      </c>
      <c r="K452" s="4" t="s">
        <v>4</v>
      </c>
      <c r="L452" s="4">
        <v>1</v>
      </c>
      <c r="M452" s="5">
        <v>30</v>
      </c>
      <c r="N452">
        <f>L452*M452</f>
        <v>30</v>
      </c>
      <c r="O452" s="15">
        <f>N452*$R$3</f>
        <v>0.44999999999999996</v>
      </c>
    </row>
    <row r="453" spans="1:15">
      <c r="A453" s="2">
        <v>452</v>
      </c>
      <c r="B453" s="4">
        <f>YEAR(F453)</f>
        <v>2023</v>
      </c>
      <c r="C453" s="4">
        <f>MONTH(F453)</f>
        <v>5</v>
      </c>
      <c r="D453" s="4">
        <f>DAY(F453)</f>
        <v>8</v>
      </c>
      <c r="E453" s="4" t="str">
        <f t="shared" si="7"/>
        <v>Monday</v>
      </c>
      <c r="F453" s="3">
        <v>45054</v>
      </c>
      <c r="G453" s="4" t="s">
        <v>484</v>
      </c>
      <c r="H453" s="4" t="s">
        <v>7</v>
      </c>
      <c r="I453" s="4">
        <v>48</v>
      </c>
      <c r="J453" s="4" t="str" cm="1">
        <f t="array" ref="J453">_xlfn.IFS(I453&lt;30,"Young Adult", I453&lt;50,"Adult",I453 &gt;=50,"Seniors")</f>
        <v>Adult</v>
      </c>
      <c r="K453" s="4" t="s">
        <v>3</v>
      </c>
      <c r="L453" s="4">
        <v>3</v>
      </c>
      <c r="M453" s="5">
        <v>500</v>
      </c>
      <c r="N453">
        <f>L453*M453</f>
        <v>1500</v>
      </c>
      <c r="O453" s="15">
        <f>N453*$R$3</f>
        <v>22.5</v>
      </c>
    </row>
    <row r="454" spans="1:15">
      <c r="A454" s="2">
        <v>453</v>
      </c>
      <c r="B454" s="4">
        <f>YEAR(F454)</f>
        <v>2023</v>
      </c>
      <c r="C454" s="4">
        <f>MONTH(F454)</f>
        <v>12</v>
      </c>
      <c r="D454" s="4">
        <f>DAY(F454)</f>
        <v>8</v>
      </c>
      <c r="E454" s="4" t="str">
        <f t="shared" si="7"/>
        <v>Friday</v>
      </c>
      <c r="F454" s="3">
        <v>45268</v>
      </c>
      <c r="G454" s="4" t="s">
        <v>485</v>
      </c>
      <c r="H454" s="4" t="s">
        <v>7</v>
      </c>
      <c r="I454" s="4">
        <v>26</v>
      </c>
      <c r="J454" s="4" t="str" cm="1">
        <f t="array" ref="J454">_xlfn.IFS(I454&lt;30,"Young Adult", I454&lt;50,"Adult",I454 &gt;=50,"Seniors")</f>
        <v>Young Adult</v>
      </c>
      <c r="K454" s="4" t="s">
        <v>3</v>
      </c>
      <c r="L454" s="4">
        <v>2</v>
      </c>
      <c r="M454" s="5">
        <v>500</v>
      </c>
      <c r="N454">
        <f>L454*M454</f>
        <v>1000</v>
      </c>
      <c r="O454" s="15">
        <f>N454*$R$3</f>
        <v>15</v>
      </c>
    </row>
    <row r="455" spans="1:15">
      <c r="A455" s="2">
        <v>454</v>
      </c>
      <c r="B455" s="4">
        <f>YEAR(F455)</f>
        <v>2023</v>
      </c>
      <c r="C455" s="4">
        <f>MONTH(F455)</f>
        <v>2</v>
      </c>
      <c r="D455" s="4">
        <f>DAY(F455)</f>
        <v>22</v>
      </c>
      <c r="E455" s="4" t="str">
        <f t="shared" si="7"/>
        <v>Wednesday</v>
      </c>
      <c r="F455" s="3">
        <v>44979</v>
      </c>
      <c r="G455" s="4" t="s">
        <v>486</v>
      </c>
      <c r="H455" s="4" t="s">
        <v>7</v>
      </c>
      <c r="I455" s="4">
        <v>46</v>
      </c>
      <c r="J455" s="4" t="str" cm="1">
        <f t="array" ref="J455">_xlfn.IFS(I455&lt;30,"Young Adult", I455&lt;50,"Adult",I455 &gt;=50,"Seniors")</f>
        <v>Adult</v>
      </c>
      <c r="K455" s="4" t="s">
        <v>2</v>
      </c>
      <c r="L455" s="4">
        <v>1</v>
      </c>
      <c r="M455" s="5">
        <v>25</v>
      </c>
      <c r="N455">
        <f>L455*M455</f>
        <v>25</v>
      </c>
      <c r="O455" s="15">
        <f>N455*$R$3</f>
        <v>0.375</v>
      </c>
    </row>
    <row r="456" spans="1:15">
      <c r="A456" s="2">
        <v>455</v>
      </c>
      <c r="B456" s="4">
        <f>YEAR(F456)</f>
        <v>2023</v>
      </c>
      <c r="C456" s="4">
        <f>MONTH(F456)</f>
        <v>7</v>
      </c>
      <c r="D456" s="4">
        <f>DAY(F456)</f>
        <v>1</v>
      </c>
      <c r="E456" s="4" t="str">
        <f t="shared" si="7"/>
        <v>Saturday</v>
      </c>
      <c r="F456" s="3">
        <v>45108</v>
      </c>
      <c r="G456" s="4" t="s">
        <v>487</v>
      </c>
      <c r="H456" s="4" t="s">
        <v>8</v>
      </c>
      <c r="I456" s="4">
        <v>31</v>
      </c>
      <c r="J456" s="4" t="str" cm="1">
        <f t="array" ref="J456">_xlfn.IFS(I456&lt;30,"Young Adult", I456&lt;50,"Adult",I456 &gt;=50,"Seniors")</f>
        <v>Adult</v>
      </c>
      <c r="K456" s="4" t="s">
        <v>4</v>
      </c>
      <c r="L456" s="4">
        <v>4</v>
      </c>
      <c r="M456" s="5">
        <v>25</v>
      </c>
      <c r="N456">
        <f>L456*M456</f>
        <v>100</v>
      </c>
      <c r="O456" s="15">
        <f>N456*$R$3</f>
        <v>1.5</v>
      </c>
    </row>
    <row r="457" spans="1:15">
      <c r="A457" s="2">
        <v>456</v>
      </c>
      <c r="B457" s="4">
        <f>YEAR(F457)</f>
        <v>2023</v>
      </c>
      <c r="C457" s="4">
        <f>MONTH(F457)</f>
        <v>10</v>
      </c>
      <c r="D457" s="4">
        <f>DAY(F457)</f>
        <v>14</v>
      </c>
      <c r="E457" s="4" t="str">
        <f t="shared" si="7"/>
        <v>Saturday</v>
      </c>
      <c r="F457" s="3">
        <v>45213</v>
      </c>
      <c r="G457" s="4" t="s">
        <v>488</v>
      </c>
      <c r="H457" s="4" t="s">
        <v>8</v>
      </c>
      <c r="I457" s="4">
        <v>57</v>
      </c>
      <c r="J457" s="4" t="str" cm="1">
        <f t="array" ref="J457">_xlfn.IFS(I457&lt;30,"Young Adult", I457&lt;50,"Adult",I457 &gt;=50,"Seniors")</f>
        <v>Seniors</v>
      </c>
      <c r="K457" s="4" t="s">
        <v>4</v>
      </c>
      <c r="L457" s="4">
        <v>2</v>
      </c>
      <c r="M457" s="5">
        <v>30</v>
      </c>
      <c r="N457">
        <f>L457*M457</f>
        <v>60</v>
      </c>
      <c r="O457" s="15">
        <f>N457*$R$3</f>
        <v>0.89999999999999991</v>
      </c>
    </row>
    <row r="458" spans="1:15">
      <c r="A458" s="2">
        <v>457</v>
      </c>
      <c r="B458" s="4">
        <f>YEAR(F458)</f>
        <v>2023</v>
      </c>
      <c r="C458" s="4">
        <f>MONTH(F458)</f>
        <v>7</v>
      </c>
      <c r="D458" s="4">
        <f>DAY(F458)</f>
        <v>28</v>
      </c>
      <c r="E458" s="4" t="str">
        <f t="shared" si="7"/>
        <v>Friday</v>
      </c>
      <c r="F458" s="3">
        <v>45135</v>
      </c>
      <c r="G458" s="4" t="s">
        <v>489</v>
      </c>
      <c r="H458" s="4" t="s">
        <v>7</v>
      </c>
      <c r="I458" s="4">
        <v>58</v>
      </c>
      <c r="J458" s="4" t="str" cm="1">
        <f t="array" ref="J458">_xlfn.IFS(I458&lt;30,"Young Adult", I458&lt;50,"Adult",I458 &gt;=50,"Seniors")</f>
        <v>Seniors</v>
      </c>
      <c r="K458" s="4" t="s">
        <v>2</v>
      </c>
      <c r="L458" s="4">
        <v>3</v>
      </c>
      <c r="M458" s="5">
        <v>300</v>
      </c>
      <c r="N458">
        <f>L458*M458</f>
        <v>900</v>
      </c>
      <c r="O458" s="15">
        <f>N458*$R$3</f>
        <v>13.5</v>
      </c>
    </row>
    <row r="459" spans="1:15">
      <c r="A459" s="2">
        <v>458</v>
      </c>
      <c r="B459" s="4">
        <f>YEAR(F459)</f>
        <v>2023</v>
      </c>
      <c r="C459" s="4">
        <f>MONTH(F459)</f>
        <v>11</v>
      </c>
      <c r="D459" s="4">
        <f>DAY(F459)</f>
        <v>14</v>
      </c>
      <c r="E459" s="4" t="str">
        <f t="shared" si="7"/>
        <v>Tuesday</v>
      </c>
      <c r="F459" s="3">
        <v>45244</v>
      </c>
      <c r="G459" s="4" t="s">
        <v>490</v>
      </c>
      <c r="H459" s="4" t="s">
        <v>7</v>
      </c>
      <c r="I459" s="4">
        <v>39</v>
      </c>
      <c r="J459" s="4" t="str" cm="1">
        <f t="array" ref="J459">_xlfn.IFS(I459&lt;30,"Young Adult", I459&lt;50,"Adult",I459 &gt;=50,"Seniors")</f>
        <v>Adult</v>
      </c>
      <c r="K459" s="4" t="s">
        <v>4</v>
      </c>
      <c r="L459" s="4">
        <v>4</v>
      </c>
      <c r="M459" s="5">
        <v>25</v>
      </c>
      <c r="N459">
        <f>L459*M459</f>
        <v>100</v>
      </c>
      <c r="O459" s="15">
        <f>N459*$R$3</f>
        <v>1.5</v>
      </c>
    </row>
    <row r="460" spans="1:15">
      <c r="A460" s="2">
        <v>459</v>
      </c>
      <c r="B460" s="4">
        <f>YEAR(F460)</f>
        <v>2023</v>
      </c>
      <c r="C460" s="4">
        <f>MONTH(F460)</f>
        <v>3</v>
      </c>
      <c r="D460" s="4">
        <f>DAY(F460)</f>
        <v>21</v>
      </c>
      <c r="E460" s="4" t="str">
        <f t="shared" si="7"/>
        <v>Tuesday</v>
      </c>
      <c r="F460" s="3">
        <v>45006</v>
      </c>
      <c r="G460" s="4" t="s">
        <v>491</v>
      </c>
      <c r="H460" s="4" t="s">
        <v>8</v>
      </c>
      <c r="I460" s="4">
        <v>28</v>
      </c>
      <c r="J460" s="4" t="str" cm="1">
        <f t="array" ref="J460">_xlfn.IFS(I460&lt;30,"Young Adult", I460&lt;50,"Adult",I460 &gt;=50,"Seniors")</f>
        <v>Young Adult</v>
      </c>
      <c r="K460" s="4" t="s">
        <v>3</v>
      </c>
      <c r="L460" s="4">
        <v>4</v>
      </c>
      <c r="M460" s="5">
        <v>300</v>
      </c>
      <c r="N460">
        <f>L460*M460</f>
        <v>1200</v>
      </c>
      <c r="O460" s="15">
        <f>N460*$R$3</f>
        <v>18</v>
      </c>
    </row>
    <row r="461" spans="1:15">
      <c r="A461" s="2">
        <v>460</v>
      </c>
      <c r="B461" s="4">
        <f>YEAR(F461)</f>
        <v>2023</v>
      </c>
      <c r="C461" s="4">
        <f>MONTH(F461)</f>
        <v>5</v>
      </c>
      <c r="D461" s="4">
        <f>DAY(F461)</f>
        <v>2</v>
      </c>
      <c r="E461" s="4" t="str">
        <f t="shared" si="7"/>
        <v>Tuesday</v>
      </c>
      <c r="F461" s="3">
        <v>45048</v>
      </c>
      <c r="G461" s="4" t="s">
        <v>492</v>
      </c>
      <c r="H461" s="4" t="s">
        <v>8</v>
      </c>
      <c r="I461" s="4">
        <v>40</v>
      </c>
      <c r="J461" s="4" t="str" cm="1">
        <f t="array" ref="J461">_xlfn.IFS(I461&lt;30,"Young Adult", I461&lt;50,"Adult",I461 &gt;=50,"Seniors")</f>
        <v>Adult</v>
      </c>
      <c r="K461" s="4" t="s">
        <v>2</v>
      </c>
      <c r="L461" s="4">
        <v>1</v>
      </c>
      <c r="M461" s="5">
        <v>50</v>
      </c>
      <c r="N461">
        <f>L461*M461</f>
        <v>50</v>
      </c>
      <c r="O461" s="15">
        <f>N461*$R$3</f>
        <v>0.75</v>
      </c>
    </row>
    <row r="462" spans="1:15">
      <c r="A462" s="2">
        <v>461</v>
      </c>
      <c r="B462" s="4">
        <f>YEAR(F462)</f>
        <v>2023</v>
      </c>
      <c r="C462" s="4">
        <f>MONTH(F462)</f>
        <v>3</v>
      </c>
      <c r="D462" s="4">
        <f>DAY(F462)</f>
        <v>25</v>
      </c>
      <c r="E462" s="4" t="str">
        <f t="shared" si="7"/>
        <v>Saturday</v>
      </c>
      <c r="F462" s="3">
        <v>45010</v>
      </c>
      <c r="G462" s="4" t="s">
        <v>493</v>
      </c>
      <c r="H462" s="4" t="s">
        <v>7</v>
      </c>
      <c r="I462" s="4">
        <v>18</v>
      </c>
      <c r="J462" s="4" t="str" cm="1">
        <f t="array" ref="J462">_xlfn.IFS(I462&lt;30,"Young Adult", I462&lt;50,"Adult",I462 &gt;=50,"Seniors")</f>
        <v>Young Adult</v>
      </c>
      <c r="K462" s="4" t="s">
        <v>2</v>
      </c>
      <c r="L462" s="4">
        <v>2</v>
      </c>
      <c r="M462" s="5">
        <v>500</v>
      </c>
      <c r="N462">
        <f>L462*M462</f>
        <v>1000</v>
      </c>
      <c r="O462" s="15">
        <f>N462*$R$3</f>
        <v>15</v>
      </c>
    </row>
    <row r="463" spans="1:15">
      <c r="A463" s="2">
        <v>462</v>
      </c>
      <c r="B463" s="4">
        <f>YEAR(F463)</f>
        <v>2023</v>
      </c>
      <c r="C463" s="4">
        <f>MONTH(F463)</f>
        <v>4</v>
      </c>
      <c r="D463" s="4">
        <f>DAY(F463)</f>
        <v>1</v>
      </c>
      <c r="E463" s="4" t="str">
        <f t="shared" si="7"/>
        <v>Saturday</v>
      </c>
      <c r="F463" s="3">
        <v>45017</v>
      </c>
      <c r="G463" s="4" t="s">
        <v>494</v>
      </c>
      <c r="H463" s="4" t="s">
        <v>8</v>
      </c>
      <c r="I463" s="4">
        <v>63</v>
      </c>
      <c r="J463" s="4" t="str" cm="1">
        <f t="array" ref="J463">_xlfn.IFS(I463&lt;30,"Young Adult", I463&lt;50,"Adult",I463 &gt;=50,"Seniors")</f>
        <v>Seniors</v>
      </c>
      <c r="K463" s="4" t="s">
        <v>4</v>
      </c>
      <c r="L463" s="4">
        <v>4</v>
      </c>
      <c r="M463" s="5">
        <v>300</v>
      </c>
      <c r="N463">
        <f>L463*M463</f>
        <v>1200</v>
      </c>
      <c r="O463" s="15">
        <f>N463*$R$3</f>
        <v>18</v>
      </c>
    </row>
    <row r="464" spans="1:15">
      <c r="A464" s="2">
        <v>463</v>
      </c>
      <c r="B464" s="4">
        <f>YEAR(F464)</f>
        <v>2023</v>
      </c>
      <c r="C464" s="4">
        <f>MONTH(F464)</f>
        <v>7</v>
      </c>
      <c r="D464" s="4">
        <f>DAY(F464)</f>
        <v>31</v>
      </c>
      <c r="E464" s="4" t="str">
        <f t="shared" si="7"/>
        <v>Monday</v>
      </c>
      <c r="F464" s="3">
        <v>45138</v>
      </c>
      <c r="G464" s="4" t="s">
        <v>495</v>
      </c>
      <c r="H464" s="4" t="s">
        <v>7</v>
      </c>
      <c r="I464" s="4">
        <v>54</v>
      </c>
      <c r="J464" s="4" t="str" cm="1">
        <f t="array" ref="J464">_xlfn.IFS(I464&lt;30,"Young Adult", I464&lt;50,"Adult",I464 &gt;=50,"Seniors")</f>
        <v>Seniors</v>
      </c>
      <c r="K464" s="4" t="s">
        <v>2</v>
      </c>
      <c r="L464" s="4">
        <v>3</v>
      </c>
      <c r="M464" s="5">
        <v>500</v>
      </c>
      <c r="N464">
        <f>L464*M464</f>
        <v>1500</v>
      </c>
      <c r="O464" s="15">
        <f>N464*$R$3</f>
        <v>22.5</v>
      </c>
    </row>
    <row r="465" spans="1:15">
      <c r="A465" s="2">
        <v>464</v>
      </c>
      <c r="B465" s="4">
        <f>YEAR(F465)</f>
        <v>2023</v>
      </c>
      <c r="C465" s="4">
        <f>MONTH(F465)</f>
        <v>1</v>
      </c>
      <c r="D465" s="4">
        <f>DAY(F465)</f>
        <v>13</v>
      </c>
      <c r="E465" s="4" t="str">
        <f t="shared" si="7"/>
        <v>Friday</v>
      </c>
      <c r="F465" s="3">
        <v>44939</v>
      </c>
      <c r="G465" s="4" t="s">
        <v>496</v>
      </c>
      <c r="H465" s="4" t="s">
        <v>8</v>
      </c>
      <c r="I465" s="4">
        <v>38</v>
      </c>
      <c r="J465" s="4" t="str" cm="1">
        <f t="array" ref="J465">_xlfn.IFS(I465&lt;30,"Young Adult", I465&lt;50,"Adult",I465 &gt;=50,"Seniors")</f>
        <v>Adult</v>
      </c>
      <c r="K465" s="4" t="s">
        <v>4</v>
      </c>
      <c r="L465" s="4">
        <v>2</v>
      </c>
      <c r="M465" s="5">
        <v>300</v>
      </c>
      <c r="N465">
        <f>L465*M465</f>
        <v>600</v>
      </c>
      <c r="O465" s="15">
        <f>N465*$R$3</f>
        <v>9</v>
      </c>
    </row>
    <row r="466" spans="1:15">
      <c r="A466" s="2">
        <v>465</v>
      </c>
      <c r="B466" s="4">
        <f>YEAR(F466)</f>
        <v>2023</v>
      </c>
      <c r="C466" s="4">
        <f>MONTH(F466)</f>
        <v>4</v>
      </c>
      <c r="D466" s="4">
        <f>DAY(F466)</f>
        <v>2</v>
      </c>
      <c r="E466" s="4" t="str">
        <f t="shared" si="7"/>
        <v>Sunday</v>
      </c>
      <c r="F466" s="3">
        <v>45018</v>
      </c>
      <c r="G466" s="4" t="s">
        <v>497</v>
      </c>
      <c r="H466" s="4" t="s">
        <v>7</v>
      </c>
      <c r="I466" s="4">
        <v>43</v>
      </c>
      <c r="J466" s="4" t="str" cm="1">
        <f t="array" ref="J466">_xlfn.IFS(I466&lt;30,"Young Adult", I466&lt;50,"Adult",I466 &gt;=50,"Seniors")</f>
        <v>Adult</v>
      </c>
      <c r="K466" s="4" t="s">
        <v>4</v>
      </c>
      <c r="L466" s="4">
        <v>3</v>
      </c>
      <c r="M466" s="5">
        <v>50</v>
      </c>
      <c r="N466">
        <f>L466*M466</f>
        <v>150</v>
      </c>
      <c r="O466" s="15">
        <f>N466*$R$3</f>
        <v>2.25</v>
      </c>
    </row>
    <row r="467" spans="1:15">
      <c r="A467" s="2">
        <v>466</v>
      </c>
      <c r="B467" s="4">
        <f>YEAR(F467)</f>
        <v>2023</v>
      </c>
      <c r="C467" s="4">
        <f>MONTH(F467)</f>
        <v>6</v>
      </c>
      <c r="D467" s="4">
        <f>DAY(F467)</f>
        <v>20</v>
      </c>
      <c r="E467" s="4" t="str">
        <f t="shared" si="7"/>
        <v>Tuesday</v>
      </c>
      <c r="F467" s="3">
        <v>45097</v>
      </c>
      <c r="G467" s="4" t="s">
        <v>498</v>
      </c>
      <c r="H467" s="4" t="s">
        <v>8</v>
      </c>
      <c r="I467" s="4">
        <v>63</v>
      </c>
      <c r="J467" s="4" t="str" cm="1">
        <f t="array" ref="J467">_xlfn.IFS(I467&lt;30,"Young Adult", I467&lt;50,"Adult",I467 &gt;=50,"Seniors")</f>
        <v>Seniors</v>
      </c>
      <c r="K467" s="4" t="s">
        <v>4</v>
      </c>
      <c r="L467" s="4">
        <v>4</v>
      </c>
      <c r="M467" s="5">
        <v>25</v>
      </c>
      <c r="N467">
        <f>L467*M467</f>
        <v>100</v>
      </c>
      <c r="O467" s="15">
        <f>N467*$R$3</f>
        <v>1.5</v>
      </c>
    </row>
    <row r="468" spans="1:15">
      <c r="A468" s="2">
        <v>467</v>
      </c>
      <c r="B468" s="4">
        <f>YEAR(F468)</f>
        <v>2023</v>
      </c>
      <c r="C468" s="4">
        <f>MONTH(F468)</f>
        <v>7</v>
      </c>
      <c r="D468" s="4">
        <f>DAY(F468)</f>
        <v>30</v>
      </c>
      <c r="E468" s="4" t="str">
        <f t="shared" si="7"/>
        <v>Sunday</v>
      </c>
      <c r="F468" s="3">
        <v>45137</v>
      </c>
      <c r="G468" s="4" t="s">
        <v>499</v>
      </c>
      <c r="H468" s="4" t="s">
        <v>7</v>
      </c>
      <c r="I468" s="4">
        <v>53</v>
      </c>
      <c r="J468" s="4" t="str" cm="1">
        <f t="array" ref="J468">_xlfn.IFS(I468&lt;30,"Young Adult", I468&lt;50,"Adult",I468 &gt;=50,"Seniors")</f>
        <v>Seniors</v>
      </c>
      <c r="K468" s="4" t="s">
        <v>4</v>
      </c>
      <c r="L468" s="4">
        <v>3</v>
      </c>
      <c r="M468" s="5">
        <v>50</v>
      </c>
      <c r="N468">
        <f>L468*M468</f>
        <v>150</v>
      </c>
      <c r="O468" s="15">
        <f>N468*$R$3</f>
        <v>2.25</v>
      </c>
    </row>
    <row r="469" spans="1:15">
      <c r="A469" s="2">
        <v>468</v>
      </c>
      <c r="B469" s="4">
        <f>YEAR(F469)</f>
        <v>2023</v>
      </c>
      <c r="C469" s="4">
        <f>MONTH(F469)</f>
        <v>12</v>
      </c>
      <c r="D469" s="4">
        <f>DAY(F469)</f>
        <v>9</v>
      </c>
      <c r="E469" s="4" t="str">
        <f t="shared" si="7"/>
        <v>Saturday</v>
      </c>
      <c r="F469" s="3">
        <v>45269</v>
      </c>
      <c r="G469" s="4" t="s">
        <v>500</v>
      </c>
      <c r="H469" s="4" t="s">
        <v>8</v>
      </c>
      <c r="I469" s="4">
        <v>40</v>
      </c>
      <c r="J469" s="4" t="str" cm="1">
        <f t="array" ref="J469">_xlfn.IFS(I469&lt;30,"Young Adult", I469&lt;50,"Adult",I469 &gt;=50,"Seniors")</f>
        <v>Adult</v>
      </c>
      <c r="K469" s="4" t="s">
        <v>4</v>
      </c>
      <c r="L469" s="4">
        <v>1</v>
      </c>
      <c r="M469" s="5">
        <v>25</v>
      </c>
      <c r="N469">
        <f>L469*M469</f>
        <v>25</v>
      </c>
      <c r="O469" s="15">
        <f>N469*$R$3</f>
        <v>0.375</v>
      </c>
    </row>
    <row r="470" spans="1:15">
      <c r="A470" s="2">
        <v>469</v>
      </c>
      <c r="B470" s="4">
        <f>YEAR(F470)</f>
        <v>2023</v>
      </c>
      <c r="C470" s="4">
        <f>MONTH(F470)</f>
        <v>5</v>
      </c>
      <c r="D470" s="4">
        <f>DAY(F470)</f>
        <v>8</v>
      </c>
      <c r="E470" s="4" t="str">
        <f t="shared" si="7"/>
        <v>Monday</v>
      </c>
      <c r="F470" s="3">
        <v>45054</v>
      </c>
      <c r="G470" s="4" t="s">
        <v>501</v>
      </c>
      <c r="H470" s="4" t="s">
        <v>8</v>
      </c>
      <c r="I470" s="4">
        <v>18</v>
      </c>
      <c r="J470" s="4" t="str" cm="1">
        <f t="array" ref="J470">_xlfn.IFS(I470&lt;30,"Young Adult", I470&lt;50,"Adult",I470 &gt;=50,"Seniors")</f>
        <v>Young Adult</v>
      </c>
      <c r="K470" s="4" t="s">
        <v>2</v>
      </c>
      <c r="L470" s="4">
        <v>3</v>
      </c>
      <c r="M470" s="5">
        <v>25</v>
      </c>
      <c r="N470">
        <f>L470*M470</f>
        <v>75</v>
      </c>
      <c r="O470" s="15">
        <f>N470*$R$3</f>
        <v>1.125</v>
      </c>
    </row>
    <row r="471" spans="1:15">
      <c r="A471" s="2">
        <v>470</v>
      </c>
      <c r="B471" s="4">
        <f>YEAR(F471)</f>
        <v>2023</v>
      </c>
      <c r="C471" s="4">
        <f>MONTH(F471)</f>
        <v>5</v>
      </c>
      <c r="D471" s="4">
        <f>DAY(F471)</f>
        <v>17</v>
      </c>
      <c r="E471" s="4" t="str">
        <f t="shared" si="7"/>
        <v>Wednesday</v>
      </c>
      <c r="F471" s="3">
        <v>45063</v>
      </c>
      <c r="G471" s="4" t="s">
        <v>502</v>
      </c>
      <c r="H471" s="4" t="s">
        <v>7</v>
      </c>
      <c r="I471" s="4">
        <v>57</v>
      </c>
      <c r="J471" s="4" t="str" cm="1">
        <f t="array" ref="J471">_xlfn.IFS(I471&lt;30,"Young Adult", I471&lt;50,"Adult",I471 &gt;=50,"Seniors")</f>
        <v>Seniors</v>
      </c>
      <c r="K471" s="4" t="s">
        <v>3</v>
      </c>
      <c r="L471" s="4">
        <v>2</v>
      </c>
      <c r="M471" s="5">
        <v>500</v>
      </c>
      <c r="N471">
        <f>L471*M471</f>
        <v>1000</v>
      </c>
      <c r="O471" s="15">
        <f>N471*$R$3</f>
        <v>15</v>
      </c>
    </row>
    <row r="472" spans="1:15">
      <c r="A472" s="2">
        <v>471</v>
      </c>
      <c r="B472" s="4">
        <f>YEAR(F472)</f>
        <v>2023</v>
      </c>
      <c r="C472" s="4">
        <f>MONTH(F472)</f>
        <v>3</v>
      </c>
      <c r="D472" s="4">
        <f>DAY(F472)</f>
        <v>23</v>
      </c>
      <c r="E472" s="4" t="str">
        <f t="shared" si="7"/>
        <v>Thursday</v>
      </c>
      <c r="F472" s="3">
        <v>45008</v>
      </c>
      <c r="G472" s="4" t="s">
        <v>503</v>
      </c>
      <c r="H472" s="4" t="s">
        <v>8</v>
      </c>
      <c r="I472" s="4">
        <v>32</v>
      </c>
      <c r="J472" s="4" t="str" cm="1">
        <f t="array" ref="J472">_xlfn.IFS(I472&lt;30,"Young Adult", I472&lt;50,"Adult",I472 &gt;=50,"Seniors")</f>
        <v>Adult</v>
      </c>
      <c r="K472" s="4" t="s">
        <v>3</v>
      </c>
      <c r="L472" s="4">
        <v>3</v>
      </c>
      <c r="M472" s="5">
        <v>50</v>
      </c>
      <c r="N472">
        <f>L472*M472</f>
        <v>150</v>
      </c>
      <c r="O472" s="15">
        <f>N472*$R$3</f>
        <v>2.25</v>
      </c>
    </row>
    <row r="473" spans="1:15">
      <c r="A473" s="2">
        <v>472</v>
      </c>
      <c r="B473" s="4">
        <f>YEAR(F473)</f>
        <v>2023</v>
      </c>
      <c r="C473" s="4">
        <f>MONTH(F473)</f>
        <v>12</v>
      </c>
      <c r="D473" s="4">
        <f>DAY(F473)</f>
        <v>26</v>
      </c>
      <c r="E473" s="4" t="str">
        <f t="shared" si="7"/>
        <v>Tuesday</v>
      </c>
      <c r="F473" s="3">
        <v>45286</v>
      </c>
      <c r="G473" s="4" t="s">
        <v>504</v>
      </c>
      <c r="H473" s="4" t="s">
        <v>7</v>
      </c>
      <c r="I473" s="4">
        <v>38</v>
      </c>
      <c r="J473" s="4" t="str" cm="1">
        <f t="array" ref="J473">_xlfn.IFS(I473&lt;30,"Young Adult", I473&lt;50,"Adult",I473 &gt;=50,"Seniors")</f>
        <v>Adult</v>
      </c>
      <c r="K473" s="4" t="s">
        <v>2</v>
      </c>
      <c r="L473" s="4">
        <v>3</v>
      </c>
      <c r="M473" s="5">
        <v>300</v>
      </c>
      <c r="N473">
        <f>L473*M473</f>
        <v>900</v>
      </c>
      <c r="O473" s="15">
        <f>N473*$R$3</f>
        <v>13.5</v>
      </c>
    </row>
    <row r="474" spans="1:15">
      <c r="A474" s="2">
        <v>473</v>
      </c>
      <c r="B474" s="4">
        <f>YEAR(F474)</f>
        <v>2023</v>
      </c>
      <c r="C474" s="4">
        <f>MONTH(F474)</f>
        <v>2</v>
      </c>
      <c r="D474" s="4">
        <f>DAY(F474)</f>
        <v>25</v>
      </c>
      <c r="E474" s="4" t="str">
        <f t="shared" si="7"/>
        <v>Saturday</v>
      </c>
      <c r="F474" s="3">
        <v>44982</v>
      </c>
      <c r="G474" s="4" t="s">
        <v>505</v>
      </c>
      <c r="H474" s="4" t="s">
        <v>8</v>
      </c>
      <c r="I474" s="4">
        <v>64</v>
      </c>
      <c r="J474" s="4" t="str" cm="1">
        <f t="array" ref="J474">_xlfn.IFS(I474&lt;30,"Young Adult", I474&lt;50,"Adult",I474 &gt;=50,"Seniors")</f>
        <v>Seniors</v>
      </c>
      <c r="K474" s="4" t="s">
        <v>2</v>
      </c>
      <c r="L474" s="4">
        <v>1</v>
      </c>
      <c r="M474" s="5">
        <v>50</v>
      </c>
      <c r="N474">
        <f>L474*M474</f>
        <v>50</v>
      </c>
      <c r="O474" s="15">
        <f>N474*$R$3</f>
        <v>0.75</v>
      </c>
    </row>
    <row r="475" spans="1:15">
      <c r="A475" s="2">
        <v>474</v>
      </c>
      <c r="B475" s="4">
        <f>YEAR(F475)</f>
        <v>2023</v>
      </c>
      <c r="C475" s="4">
        <f>MONTH(F475)</f>
        <v>7</v>
      </c>
      <c r="D475" s="4">
        <f>DAY(F475)</f>
        <v>15</v>
      </c>
      <c r="E475" s="4" t="str">
        <f t="shared" si="7"/>
        <v>Saturday</v>
      </c>
      <c r="F475" s="3">
        <v>45122</v>
      </c>
      <c r="G475" s="4" t="s">
        <v>506</v>
      </c>
      <c r="H475" s="4" t="s">
        <v>7</v>
      </c>
      <c r="I475" s="4">
        <v>26</v>
      </c>
      <c r="J475" s="4" t="str" cm="1">
        <f t="array" ref="J475">_xlfn.IFS(I475&lt;30,"Young Adult", I475&lt;50,"Adult",I475 &gt;=50,"Seniors")</f>
        <v>Young Adult</v>
      </c>
      <c r="K475" s="4" t="s">
        <v>3</v>
      </c>
      <c r="L475" s="4">
        <v>3</v>
      </c>
      <c r="M475" s="5">
        <v>500</v>
      </c>
      <c r="N475">
        <f>L475*M475</f>
        <v>1500</v>
      </c>
      <c r="O475" s="15">
        <f>N475*$R$3</f>
        <v>22.5</v>
      </c>
    </row>
    <row r="476" spans="1:15">
      <c r="A476" s="2">
        <v>475</v>
      </c>
      <c r="B476" s="4">
        <f>YEAR(F476)</f>
        <v>2023</v>
      </c>
      <c r="C476" s="4">
        <f>MONTH(F476)</f>
        <v>1</v>
      </c>
      <c r="D476" s="4">
        <f>DAY(F476)</f>
        <v>20</v>
      </c>
      <c r="E476" s="4" t="str">
        <f t="shared" si="7"/>
        <v>Friday</v>
      </c>
      <c r="F476" s="3">
        <v>44946</v>
      </c>
      <c r="G476" s="4" t="s">
        <v>507</v>
      </c>
      <c r="H476" s="4" t="s">
        <v>8</v>
      </c>
      <c r="I476" s="4">
        <v>26</v>
      </c>
      <c r="J476" s="4" t="str" cm="1">
        <f t="array" ref="J476">_xlfn.IFS(I476&lt;30,"Young Adult", I476&lt;50,"Adult",I476 &gt;=50,"Seniors")</f>
        <v>Young Adult</v>
      </c>
      <c r="K476" s="4" t="s">
        <v>3</v>
      </c>
      <c r="L476" s="4">
        <v>3</v>
      </c>
      <c r="M476" s="5">
        <v>25</v>
      </c>
      <c r="N476">
        <f>L476*M476</f>
        <v>75</v>
      </c>
      <c r="O476" s="15">
        <f>N476*$R$3</f>
        <v>1.125</v>
      </c>
    </row>
    <row r="477" spans="1:15">
      <c r="A477" s="2">
        <v>476</v>
      </c>
      <c r="B477" s="4">
        <f>YEAR(F477)</f>
        <v>2023</v>
      </c>
      <c r="C477" s="4">
        <f>MONTH(F477)</f>
        <v>8</v>
      </c>
      <c r="D477" s="4">
        <f>DAY(F477)</f>
        <v>29</v>
      </c>
      <c r="E477" s="4" t="str">
        <f t="shared" si="7"/>
        <v>Tuesday</v>
      </c>
      <c r="F477" s="3">
        <v>45167</v>
      </c>
      <c r="G477" s="4" t="s">
        <v>508</v>
      </c>
      <c r="H477" s="4" t="s">
        <v>7</v>
      </c>
      <c r="I477" s="4">
        <v>27</v>
      </c>
      <c r="J477" s="4" t="str" cm="1">
        <f t="array" ref="J477">_xlfn.IFS(I477&lt;30,"Young Adult", I477&lt;50,"Adult",I477 &gt;=50,"Seniors")</f>
        <v>Young Adult</v>
      </c>
      <c r="K477" s="4" t="s">
        <v>3</v>
      </c>
      <c r="L477" s="4">
        <v>4</v>
      </c>
      <c r="M477" s="5">
        <v>500</v>
      </c>
      <c r="N477">
        <f>L477*M477</f>
        <v>2000</v>
      </c>
      <c r="O477" s="15">
        <f>N477*$R$3</f>
        <v>30</v>
      </c>
    </row>
    <row r="478" spans="1:15">
      <c r="A478" s="2">
        <v>477</v>
      </c>
      <c r="B478" s="4">
        <f>YEAR(F478)</f>
        <v>2023</v>
      </c>
      <c r="C478" s="4">
        <f>MONTH(F478)</f>
        <v>4</v>
      </c>
      <c r="D478" s="4">
        <f>DAY(F478)</f>
        <v>24</v>
      </c>
      <c r="E478" s="4" t="str">
        <f t="shared" si="7"/>
        <v>Monday</v>
      </c>
      <c r="F478" s="3">
        <v>45040</v>
      </c>
      <c r="G478" s="4" t="s">
        <v>509</v>
      </c>
      <c r="H478" s="4" t="s">
        <v>8</v>
      </c>
      <c r="I478" s="4">
        <v>43</v>
      </c>
      <c r="J478" s="4" t="str" cm="1">
        <f t="array" ref="J478">_xlfn.IFS(I478&lt;30,"Young Adult", I478&lt;50,"Adult",I478 &gt;=50,"Seniors")</f>
        <v>Adult</v>
      </c>
      <c r="K478" s="4" t="s">
        <v>3</v>
      </c>
      <c r="L478" s="4">
        <v>4</v>
      </c>
      <c r="M478" s="5">
        <v>30</v>
      </c>
      <c r="N478">
        <f>L478*M478</f>
        <v>120</v>
      </c>
      <c r="O478" s="15">
        <f>N478*$R$3</f>
        <v>1.7999999999999998</v>
      </c>
    </row>
    <row r="479" spans="1:15">
      <c r="A479" s="2">
        <v>478</v>
      </c>
      <c r="B479" s="4">
        <f>YEAR(F479)</f>
        <v>2023</v>
      </c>
      <c r="C479" s="4">
        <f>MONTH(F479)</f>
        <v>4</v>
      </c>
      <c r="D479" s="4">
        <f>DAY(F479)</f>
        <v>13</v>
      </c>
      <c r="E479" s="4" t="str">
        <f t="shared" si="7"/>
        <v>Thursday</v>
      </c>
      <c r="F479" s="3">
        <v>45029</v>
      </c>
      <c r="G479" s="4" t="s">
        <v>510</v>
      </c>
      <c r="H479" s="4" t="s">
        <v>7</v>
      </c>
      <c r="I479" s="4">
        <v>58</v>
      </c>
      <c r="J479" s="4" t="str" cm="1">
        <f t="array" ref="J479">_xlfn.IFS(I479&lt;30,"Young Adult", I479&lt;50,"Adult",I479 &gt;=50,"Seniors")</f>
        <v>Seniors</v>
      </c>
      <c r="K479" s="4" t="s">
        <v>3</v>
      </c>
      <c r="L479" s="4">
        <v>2</v>
      </c>
      <c r="M479" s="5">
        <v>30</v>
      </c>
      <c r="N479">
        <f>L479*M479</f>
        <v>60</v>
      </c>
      <c r="O479" s="15">
        <f>N479*$R$3</f>
        <v>0.89999999999999991</v>
      </c>
    </row>
    <row r="480" spans="1:15">
      <c r="A480" s="2">
        <v>479</v>
      </c>
      <c r="B480" s="4">
        <f>YEAR(F480)</f>
        <v>2023</v>
      </c>
      <c r="C480" s="4">
        <f>MONTH(F480)</f>
        <v>8</v>
      </c>
      <c r="D480" s="4">
        <f>DAY(F480)</f>
        <v>24</v>
      </c>
      <c r="E480" s="4" t="str">
        <f t="shared" si="7"/>
        <v>Thursday</v>
      </c>
      <c r="F480" s="3">
        <v>45162</v>
      </c>
      <c r="G480" s="4" t="s">
        <v>511</v>
      </c>
      <c r="H480" s="4" t="s">
        <v>8</v>
      </c>
      <c r="I480" s="4">
        <v>52</v>
      </c>
      <c r="J480" s="4" t="str" cm="1">
        <f t="array" ref="J480">_xlfn.IFS(I480&lt;30,"Young Adult", I480&lt;50,"Adult",I480 &gt;=50,"Seniors")</f>
        <v>Seniors</v>
      </c>
      <c r="K480" s="4" t="s">
        <v>4</v>
      </c>
      <c r="L480" s="4">
        <v>4</v>
      </c>
      <c r="M480" s="5">
        <v>300</v>
      </c>
      <c r="N480">
        <f>L480*M480</f>
        <v>1200</v>
      </c>
      <c r="O480" s="15">
        <f>N480*$R$3</f>
        <v>18</v>
      </c>
    </row>
    <row r="481" spans="1:15">
      <c r="A481" s="2">
        <v>480</v>
      </c>
      <c r="B481" s="4">
        <f>YEAR(F481)</f>
        <v>2023</v>
      </c>
      <c r="C481" s="4">
        <f>MONTH(F481)</f>
        <v>6</v>
      </c>
      <c r="D481" s="4">
        <f>DAY(F481)</f>
        <v>29</v>
      </c>
      <c r="E481" s="4" t="str">
        <f t="shared" si="7"/>
        <v>Thursday</v>
      </c>
      <c r="F481" s="3">
        <v>45106</v>
      </c>
      <c r="G481" s="4" t="s">
        <v>512</v>
      </c>
      <c r="H481" s="4" t="s">
        <v>7</v>
      </c>
      <c r="I481" s="4">
        <v>42</v>
      </c>
      <c r="J481" s="4" t="str" cm="1">
        <f t="array" ref="J481">_xlfn.IFS(I481&lt;30,"Young Adult", I481&lt;50,"Adult",I481 &gt;=50,"Seniors")</f>
        <v>Adult</v>
      </c>
      <c r="K481" s="4" t="s">
        <v>2</v>
      </c>
      <c r="L481" s="4">
        <v>4</v>
      </c>
      <c r="M481" s="5">
        <v>500</v>
      </c>
      <c r="N481">
        <f>L481*M481</f>
        <v>2000</v>
      </c>
      <c r="O481" s="15">
        <f>N481*$R$3</f>
        <v>30</v>
      </c>
    </row>
    <row r="482" spans="1:15">
      <c r="A482" s="2">
        <v>481</v>
      </c>
      <c r="B482" s="4">
        <f>YEAR(F482)</f>
        <v>2023</v>
      </c>
      <c r="C482" s="4">
        <f>MONTH(F482)</f>
        <v>6</v>
      </c>
      <c r="D482" s="4">
        <f>DAY(F482)</f>
        <v>6</v>
      </c>
      <c r="E482" s="4" t="str">
        <f t="shared" si="7"/>
        <v>Tuesday</v>
      </c>
      <c r="F482" s="3">
        <v>45083</v>
      </c>
      <c r="G482" s="4" t="s">
        <v>513</v>
      </c>
      <c r="H482" s="4" t="s">
        <v>7</v>
      </c>
      <c r="I482" s="4">
        <v>43</v>
      </c>
      <c r="J482" s="4" t="str" cm="1">
        <f t="array" ref="J482">_xlfn.IFS(I482&lt;30,"Young Adult", I482&lt;50,"Adult",I482 &gt;=50,"Seniors")</f>
        <v>Adult</v>
      </c>
      <c r="K482" s="4" t="s">
        <v>4</v>
      </c>
      <c r="L482" s="4">
        <v>4</v>
      </c>
      <c r="M482" s="5">
        <v>300</v>
      </c>
      <c r="N482">
        <f>L482*M482</f>
        <v>1200</v>
      </c>
      <c r="O482" s="15">
        <f>N482*$R$3</f>
        <v>18</v>
      </c>
    </row>
    <row r="483" spans="1:15">
      <c r="A483" s="2">
        <v>482</v>
      </c>
      <c r="B483" s="4">
        <f>YEAR(F483)</f>
        <v>2023</v>
      </c>
      <c r="C483" s="4">
        <f>MONTH(F483)</f>
        <v>4</v>
      </c>
      <c r="D483" s="4">
        <f>DAY(F483)</f>
        <v>27</v>
      </c>
      <c r="E483" s="4" t="str">
        <f t="shared" si="7"/>
        <v>Thursday</v>
      </c>
      <c r="F483" s="3">
        <v>45043</v>
      </c>
      <c r="G483" s="4" t="s">
        <v>514</v>
      </c>
      <c r="H483" s="4" t="s">
        <v>7</v>
      </c>
      <c r="I483" s="4">
        <v>28</v>
      </c>
      <c r="J483" s="4" t="str" cm="1">
        <f t="array" ref="J483">_xlfn.IFS(I483&lt;30,"Young Adult", I483&lt;50,"Adult",I483 &gt;=50,"Seniors")</f>
        <v>Young Adult</v>
      </c>
      <c r="K483" s="4" t="s">
        <v>3</v>
      </c>
      <c r="L483" s="4">
        <v>4</v>
      </c>
      <c r="M483" s="5">
        <v>300</v>
      </c>
      <c r="N483">
        <f>L483*M483</f>
        <v>1200</v>
      </c>
      <c r="O483" s="15">
        <f>N483*$R$3</f>
        <v>18</v>
      </c>
    </row>
    <row r="484" spans="1:15">
      <c r="A484" s="2">
        <v>483</v>
      </c>
      <c r="B484" s="4">
        <f>YEAR(F484)</f>
        <v>2023</v>
      </c>
      <c r="C484" s="4">
        <f>MONTH(F484)</f>
        <v>4</v>
      </c>
      <c r="D484" s="4">
        <f>DAY(F484)</f>
        <v>25</v>
      </c>
      <c r="E484" s="4" t="str">
        <f t="shared" si="7"/>
        <v>Tuesday</v>
      </c>
      <c r="F484" s="3">
        <v>45041</v>
      </c>
      <c r="G484" s="4" t="s">
        <v>515</v>
      </c>
      <c r="H484" s="4" t="s">
        <v>8</v>
      </c>
      <c r="I484" s="4">
        <v>55</v>
      </c>
      <c r="J484" s="4" t="str" cm="1">
        <f t="array" ref="J484">_xlfn.IFS(I484&lt;30,"Young Adult", I484&lt;50,"Adult",I484 &gt;=50,"Seniors")</f>
        <v>Seniors</v>
      </c>
      <c r="K484" s="4" t="s">
        <v>3</v>
      </c>
      <c r="L484" s="4">
        <v>1</v>
      </c>
      <c r="M484" s="5">
        <v>30</v>
      </c>
      <c r="N484">
        <f>L484*M484</f>
        <v>30</v>
      </c>
      <c r="O484" s="15">
        <f>N484*$R$3</f>
        <v>0.44999999999999996</v>
      </c>
    </row>
    <row r="485" spans="1:15">
      <c r="A485" s="2">
        <v>484</v>
      </c>
      <c r="B485" s="4">
        <f>YEAR(F485)</f>
        <v>2023</v>
      </c>
      <c r="C485" s="4">
        <f>MONTH(F485)</f>
        <v>1</v>
      </c>
      <c r="D485" s="4">
        <f>DAY(F485)</f>
        <v>13</v>
      </c>
      <c r="E485" s="4" t="str">
        <f t="shared" si="7"/>
        <v>Friday</v>
      </c>
      <c r="F485" s="3">
        <v>44939</v>
      </c>
      <c r="G485" s="4" t="s">
        <v>516</v>
      </c>
      <c r="H485" s="4" t="s">
        <v>7</v>
      </c>
      <c r="I485" s="4">
        <v>19</v>
      </c>
      <c r="J485" s="4" t="str" cm="1">
        <f t="array" ref="J485">_xlfn.IFS(I485&lt;30,"Young Adult", I485&lt;50,"Adult",I485 &gt;=50,"Seniors")</f>
        <v>Young Adult</v>
      </c>
      <c r="K485" s="4" t="s">
        <v>3</v>
      </c>
      <c r="L485" s="4">
        <v>4</v>
      </c>
      <c r="M485" s="5">
        <v>300</v>
      </c>
      <c r="N485">
        <f>L485*M485</f>
        <v>1200</v>
      </c>
      <c r="O485" s="15">
        <f>N485*$R$3</f>
        <v>18</v>
      </c>
    </row>
    <row r="486" spans="1:15">
      <c r="A486" s="2">
        <v>485</v>
      </c>
      <c r="B486" s="4">
        <f>YEAR(F486)</f>
        <v>2023</v>
      </c>
      <c r="C486" s="4">
        <f>MONTH(F486)</f>
        <v>12</v>
      </c>
      <c r="D486" s="4">
        <f>DAY(F486)</f>
        <v>4</v>
      </c>
      <c r="E486" s="4" t="str">
        <f t="shared" si="7"/>
        <v>Monday</v>
      </c>
      <c r="F486" s="3">
        <v>45264</v>
      </c>
      <c r="G486" s="4" t="s">
        <v>517</v>
      </c>
      <c r="H486" s="4" t="s">
        <v>8</v>
      </c>
      <c r="I486" s="4">
        <v>24</v>
      </c>
      <c r="J486" s="4" t="str" cm="1">
        <f t="array" ref="J486">_xlfn.IFS(I486&lt;30,"Young Adult", I486&lt;50,"Adult",I486 &gt;=50,"Seniors")</f>
        <v>Young Adult</v>
      </c>
      <c r="K486" s="4" t="s">
        <v>4</v>
      </c>
      <c r="L486" s="4">
        <v>1</v>
      </c>
      <c r="M486" s="5">
        <v>30</v>
      </c>
      <c r="N486">
        <f>L486*M486</f>
        <v>30</v>
      </c>
      <c r="O486" s="15">
        <f>N486*$R$3</f>
        <v>0.44999999999999996</v>
      </c>
    </row>
    <row r="487" spans="1:15">
      <c r="A487" s="2">
        <v>486</v>
      </c>
      <c r="B487" s="4">
        <f>YEAR(F487)</f>
        <v>2023</v>
      </c>
      <c r="C487" s="4">
        <f>MONTH(F487)</f>
        <v>4</v>
      </c>
      <c r="D487" s="4">
        <f>DAY(F487)</f>
        <v>9</v>
      </c>
      <c r="E487" s="4" t="str">
        <f t="shared" si="7"/>
        <v>Sunday</v>
      </c>
      <c r="F487" s="3">
        <v>45025</v>
      </c>
      <c r="G487" s="4" t="s">
        <v>518</v>
      </c>
      <c r="H487" s="4" t="s">
        <v>7</v>
      </c>
      <c r="I487" s="4">
        <v>35</v>
      </c>
      <c r="J487" s="4" t="str" cm="1">
        <f t="array" ref="J487">_xlfn.IFS(I487&lt;30,"Young Adult", I487&lt;50,"Adult",I487 &gt;=50,"Seniors")</f>
        <v>Adult</v>
      </c>
      <c r="K487" s="4" t="s">
        <v>4</v>
      </c>
      <c r="L487" s="4">
        <v>1</v>
      </c>
      <c r="M487" s="5">
        <v>25</v>
      </c>
      <c r="N487">
        <f>L487*M487</f>
        <v>25</v>
      </c>
      <c r="O487" s="15">
        <f>N487*$R$3</f>
        <v>0.375</v>
      </c>
    </row>
    <row r="488" spans="1:15">
      <c r="A488" s="2">
        <v>487</v>
      </c>
      <c r="B488" s="4">
        <f>YEAR(F488)</f>
        <v>2023</v>
      </c>
      <c r="C488" s="4">
        <f>MONTH(F488)</f>
        <v>7</v>
      </c>
      <c r="D488" s="4">
        <f>DAY(F488)</f>
        <v>24</v>
      </c>
      <c r="E488" s="4" t="str">
        <f t="shared" si="7"/>
        <v>Monday</v>
      </c>
      <c r="F488" s="3">
        <v>45131</v>
      </c>
      <c r="G488" s="4" t="s">
        <v>519</v>
      </c>
      <c r="H488" s="4" t="s">
        <v>8</v>
      </c>
      <c r="I488" s="4">
        <v>44</v>
      </c>
      <c r="J488" s="4" t="str" cm="1">
        <f t="array" ref="J488">_xlfn.IFS(I488&lt;30,"Young Adult", I488&lt;50,"Adult",I488 &gt;=50,"Seniors")</f>
        <v>Adult</v>
      </c>
      <c r="K488" s="4" t="s">
        <v>3</v>
      </c>
      <c r="L488" s="4">
        <v>4</v>
      </c>
      <c r="M488" s="5">
        <v>500</v>
      </c>
      <c r="N488">
        <f>L488*M488</f>
        <v>2000</v>
      </c>
      <c r="O488" s="15">
        <f>N488*$R$3</f>
        <v>30</v>
      </c>
    </row>
    <row r="489" spans="1:15">
      <c r="A489" s="2">
        <v>488</v>
      </c>
      <c r="B489" s="4">
        <f>YEAR(F489)</f>
        <v>2023</v>
      </c>
      <c r="C489" s="4">
        <f>MONTH(F489)</f>
        <v>6</v>
      </c>
      <c r="D489" s="4">
        <f>DAY(F489)</f>
        <v>18</v>
      </c>
      <c r="E489" s="4" t="str">
        <f t="shared" si="7"/>
        <v>Sunday</v>
      </c>
      <c r="F489" s="3">
        <v>45095</v>
      </c>
      <c r="G489" s="4" t="s">
        <v>520</v>
      </c>
      <c r="H489" s="4" t="s">
        <v>7</v>
      </c>
      <c r="I489" s="4">
        <v>51</v>
      </c>
      <c r="J489" s="4" t="str" cm="1">
        <f t="array" ref="J489">_xlfn.IFS(I489&lt;30,"Young Adult", I489&lt;50,"Adult",I489 &gt;=50,"Seniors")</f>
        <v>Seniors</v>
      </c>
      <c r="K489" s="4" t="s">
        <v>4</v>
      </c>
      <c r="L489" s="4">
        <v>3</v>
      </c>
      <c r="M489" s="5">
        <v>300</v>
      </c>
      <c r="N489">
        <f>L489*M489</f>
        <v>900</v>
      </c>
      <c r="O489" s="15">
        <f>N489*$R$3</f>
        <v>13.5</v>
      </c>
    </row>
    <row r="490" spans="1:15">
      <c r="A490" s="2">
        <v>489</v>
      </c>
      <c r="B490" s="4">
        <f>YEAR(F490)</f>
        <v>2023</v>
      </c>
      <c r="C490" s="4">
        <f>MONTH(F490)</f>
        <v>5</v>
      </c>
      <c r="D490" s="4">
        <f>DAY(F490)</f>
        <v>23</v>
      </c>
      <c r="E490" s="4" t="str">
        <f t="shared" si="7"/>
        <v>Tuesday</v>
      </c>
      <c r="F490" s="3">
        <v>45069</v>
      </c>
      <c r="G490" s="4" t="s">
        <v>521</v>
      </c>
      <c r="H490" s="4" t="s">
        <v>8</v>
      </c>
      <c r="I490" s="4">
        <v>44</v>
      </c>
      <c r="J490" s="4" t="str" cm="1">
        <f t="array" ref="J490">_xlfn.IFS(I490&lt;30,"Young Adult", I490&lt;50,"Adult",I490 &gt;=50,"Seniors")</f>
        <v>Adult</v>
      </c>
      <c r="K490" s="4" t="s">
        <v>4</v>
      </c>
      <c r="L490" s="4">
        <v>1</v>
      </c>
      <c r="M490" s="5">
        <v>30</v>
      </c>
      <c r="N490">
        <f>L490*M490</f>
        <v>30</v>
      </c>
      <c r="O490" s="15">
        <f>N490*$R$3</f>
        <v>0.44999999999999996</v>
      </c>
    </row>
    <row r="491" spans="1:15">
      <c r="A491" s="2">
        <v>490</v>
      </c>
      <c r="B491" s="4">
        <f>YEAR(F491)</f>
        <v>2023</v>
      </c>
      <c r="C491" s="4">
        <f>MONTH(F491)</f>
        <v>2</v>
      </c>
      <c r="D491" s="4">
        <f>DAY(F491)</f>
        <v>5</v>
      </c>
      <c r="E491" s="4" t="str">
        <f t="shared" si="7"/>
        <v>Sunday</v>
      </c>
      <c r="F491" s="3">
        <v>44962</v>
      </c>
      <c r="G491" s="4" t="s">
        <v>522</v>
      </c>
      <c r="H491" s="4" t="s">
        <v>8</v>
      </c>
      <c r="I491" s="4">
        <v>34</v>
      </c>
      <c r="J491" s="4" t="str" cm="1">
        <f t="array" ref="J491">_xlfn.IFS(I491&lt;30,"Young Adult", I491&lt;50,"Adult",I491 &gt;=50,"Seniors")</f>
        <v>Adult</v>
      </c>
      <c r="K491" s="4" t="s">
        <v>3</v>
      </c>
      <c r="L491" s="4">
        <v>3</v>
      </c>
      <c r="M491" s="5">
        <v>50</v>
      </c>
      <c r="N491">
        <f>L491*M491</f>
        <v>150</v>
      </c>
      <c r="O491" s="15">
        <f>N491*$R$3</f>
        <v>2.25</v>
      </c>
    </row>
    <row r="492" spans="1:15">
      <c r="A492" s="2">
        <v>491</v>
      </c>
      <c r="B492" s="4">
        <f>YEAR(F492)</f>
        <v>2023</v>
      </c>
      <c r="C492" s="4">
        <f>MONTH(F492)</f>
        <v>5</v>
      </c>
      <c r="D492" s="4">
        <f>DAY(F492)</f>
        <v>23</v>
      </c>
      <c r="E492" s="4" t="str">
        <f t="shared" si="7"/>
        <v>Tuesday</v>
      </c>
      <c r="F492" s="3">
        <v>45069</v>
      </c>
      <c r="G492" s="4" t="s">
        <v>523</v>
      </c>
      <c r="H492" s="4" t="s">
        <v>7</v>
      </c>
      <c r="I492" s="4">
        <v>60</v>
      </c>
      <c r="J492" s="4" t="str" cm="1">
        <f t="array" ref="J492">_xlfn.IFS(I492&lt;30,"Young Adult", I492&lt;50,"Adult",I492 &gt;=50,"Seniors")</f>
        <v>Seniors</v>
      </c>
      <c r="K492" s="4" t="s">
        <v>4</v>
      </c>
      <c r="L492" s="4">
        <v>3</v>
      </c>
      <c r="M492" s="5">
        <v>300</v>
      </c>
      <c r="N492">
        <f>L492*M492</f>
        <v>900</v>
      </c>
      <c r="O492" s="15">
        <f>N492*$R$3</f>
        <v>13.5</v>
      </c>
    </row>
    <row r="493" spans="1:15">
      <c r="A493" s="2">
        <v>492</v>
      </c>
      <c r="B493" s="4">
        <f>YEAR(F493)</f>
        <v>2023</v>
      </c>
      <c r="C493" s="4">
        <f>MONTH(F493)</f>
        <v>6</v>
      </c>
      <c r="D493" s="4">
        <f>DAY(F493)</f>
        <v>29</v>
      </c>
      <c r="E493" s="4" t="str">
        <f t="shared" si="7"/>
        <v>Thursday</v>
      </c>
      <c r="F493" s="3">
        <v>45106</v>
      </c>
      <c r="G493" s="4" t="s">
        <v>524</v>
      </c>
      <c r="H493" s="4" t="s">
        <v>8</v>
      </c>
      <c r="I493" s="4">
        <v>61</v>
      </c>
      <c r="J493" s="4" t="str" cm="1">
        <f t="array" ref="J493">_xlfn.IFS(I493&lt;30,"Young Adult", I493&lt;50,"Adult",I493 &gt;=50,"Seniors")</f>
        <v>Seniors</v>
      </c>
      <c r="K493" s="4" t="s">
        <v>2</v>
      </c>
      <c r="L493" s="4">
        <v>4</v>
      </c>
      <c r="M493" s="5">
        <v>25</v>
      </c>
      <c r="N493">
        <f>L493*M493</f>
        <v>100</v>
      </c>
      <c r="O493" s="15">
        <f>N493*$R$3</f>
        <v>1.5</v>
      </c>
    </row>
    <row r="494" spans="1:15">
      <c r="A494" s="2">
        <v>493</v>
      </c>
      <c r="B494" s="4">
        <f>YEAR(F494)</f>
        <v>2023</v>
      </c>
      <c r="C494" s="4">
        <f>MONTH(F494)</f>
        <v>11</v>
      </c>
      <c r="D494" s="4">
        <f>DAY(F494)</f>
        <v>25</v>
      </c>
      <c r="E494" s="4" t="str">
        <f t="shared" si="7"/>
        <v>Saturday</v>
      </c>
      <c r="F494" s="3">
        <v>45255</v>
      </c>
      <c r="G494" s="4" t="s">
        <v>525</v>
      </c>
      <c r="H494" s="4" t="s">
        <v>8</v>
      </c>
      <c r="I494" s="4">
        <v>41</v>
      </c>
      <c r="J494" s="4" t="str" cm="1">
        <f t="array" ref="J494">_xlfn.IFS(I494&lt;30,"Young Adult", I494&lt;50,"Adult",I494 &gt;=50,"Seniors")</f>
        <v>Adult</v>
      </c>
      <c r="K494" s="4" t="s">
        <v>2</v>
      </c>
      <c r="L494" s="4">
        <v>2</v>
      </c>
      <c r="M494" s="5">
        <v>25</v>
      </c>
      <c r="N494">
        <f>L494*M494</f>
        <v>50</v>
      </c>
      <c r="O494" s="15">
        <f>N494*$R$3</f>
        <v>0.75</v>
      </c>
    </row>
    <row r="495" spans="1:15">
      <c r="A495" s="2">
        <v>494</v>
      </c>
      <c r="B495" s="4">
        <f>YEAR(F495)</f>
        <v>2023</v>
      </c>
      <c r="C495" s="4">
        <f>MONTH(F495)</f>
        <v>9</v>
      </c>
      <c r="D495" s="4">
        <f>DAY(F495)</f>
        <v>18</v>
      </c>
      <c r="E495" s="4" t="str">
        <f t="shared" si="7"/>
        <v>Monday</v>
      </c>
      <c r="F495" s="3">
        <v>45187</v>
      </c>
      <c r="G495" s="4" t="s">
        <v>526</v>
      </c>
      <c r="H495" s="4" t="s">
        <v>7</v>
      </c>
      <c r="I495" s="4">
        <v>42</v>
      </c>
      <c r="J495" s="4" t="str" cm="1">
        <f t="array" ref="J495">_xlfn.IFS(I495&lt;30,"Young Adult", I495&lt;50,"Adult",I495 &gt;=50,"Seniors")</f>
        <v>Adult</v>
      </c>
      <c r="K495" s="4" t="s">
        <v>2</v>
      </c>
      <c r="L495" s="4">
        <v>4</v>
      </c>
      <c r="M495" s="5">
        <v>50</v>
      </c>
      <c r="N495">
        <f>L495*M495</f>
        <v>200</v>
      </c>
      <c r="O495" s="15">
        <f>N495*$R$3</f>
        <v>3</v>
      </c>
    </row>
    <row r="496" spans="1:15">
      <c r="A496" s="2">
        <v>495</v>
      </c>
      <c r="B496" s="4">
        <f>YEAR(F496)</f>
        <v>2023</v>
      </c>
      <c r="C496" s="4">
        <f>MONTH(F496)</f>
        <v>7</v>
      </c>
      <c r="D496" s="4">
        <f>DAY(F496)</f>
        <v>24</v>
      </c>
      <c r="E496" s="4" t="str">
        <f t="shared" si="7"/>
        <v>Monday</v>
      </c>
      <c r="F496" s="3">
        <v>45131</v>
      </c>
      <c r="G496" s="4" t="s">
        <v>527</v>
      </c>
      <c r="H496" s="4" t="s">
        <v>8</v>
      </c>
      <c r="I496" s="4">
        <v>24</v>
      </c>
      <c r="J496" s="4" t="str" cm="1">
        <f t="array" ref="J496">_xlfn.IFS(I496&lt;30,"Young Adult", I496&lt;50,"Adult",I496 &gt;=50,"Seniors")</f>
        <v>Young Adult</v>
      </c>
      <c r="K496" s="4" t="s">
        <v>2</v>
      </c>
      <c r="L496" s="4">
        <v>2</v>
      </c>
      <c r="M496" s="5">
        <v>30</v>
      </c>
      <c r="N496">
        <f>L496*M496</f>
        <v>60</v>
      </c>
      <c r="O496" s="15">
        <f>N496*$R$3</f>
        <v>0.89999999999999991</v>
      </c>
    </row>
    <row r="497" spans="1:15">
      <c r="A497" s="2">
        <v>496</v>
      </c>
      <c r="B497" s="4">
        <f>YEAR(F497)</f>
        <v>2023</v>
      </c>
      <c r="C497" s="4">
        <f>MONTH(F497)</f>
        <v>12</v>
      </c>
      <c r="D497" s="4">
        <f>DAY(F497)</f>
        <v>14</v>
      </c>
      <c r="E497" s="4" t="str">
        <f t="shared" si="7"/>
        <v>Thursday</v>
      </c>
      <c r="F497" s="3">
        <v>45274</v>
      </c>
      <c r="G497" s="4" t="s">
        <v>528</v>
      </c>
      <c r="H497" s="4" t="s">
        <v>8</v>
      </c>
      <c r="I497" s="4">
        <v>23</v>
      </c>
      <c r="J497" s="4" t="str" cm="1">
        <f t="array" ref="J497">_xlfn.IFS(I497&lt;30,"Young Adult", I497&lt;50,"Adult",I497 &gt;=50,"Seniors")</f>
        <v>Young Adult</v>
      </c>
      <c r="K497" s="4" t="s">
        <v>3</v>
      </c>
      <c r="L497" s="4">
        <v>2</v>
      </c>
      <c r="M497" s="5">
        <v>300</v>
      </c>
      <c r="N497">
        <f>L497*M497</f>
        <v>600</v>
      </c>
      <c r="O497" s="15">
        <f>N497*$R$3</f>
        <v>9</v>
      </c>
    </row>
    <row r="498" spans="1:15">
      <c r="A498" s="2">
        <v>497</v>
      </c>
      <c r="B498" s="4">
        <f>YEAR(F498)</f>
        <v>2023</v>
      </c>
      <c r="C498" s="4">
        <f>MONTH(F498)</f>
        <v>10</v>
      </c>
      <c r="D498" s="4">
        <f>DAY(F498)</f>
        <v>2</v>
      </c>
      <c r="E498" s="4" t="str">
        <f t="shared" si="7"/>
        <v>Monday</v>
      </c>
      <c r="F498" s="3">
        <v>45201</v>
      </c>
      <c r="G498" s="4" t="s">
        <v>529</v>
      </c>
      <c r="H498" s="4" t="s">
        <v>8</v>
      </c>
      <c r="I498" s="4">
        <v>41</v>
      </c>
      <c r="J498" s="4" t="str" cm="1">
        <f t="array" ref="J498">_xlfn.IFS(I498&lt;30,"Young Adult", I498&lt;50,"Adult",I498 &gt;=50,"Seniors")</f>
        <v>Adult</v>
      </c>
      <c r="K498" s="4" t="s">
        <v>3</v>
      </c>
      <c r="L498" s="4">
        <v>4</v>
      </c>
      <c r="M498" s="5">
        <v>30</v>
      </c>
      <c r="N498">
        <f>L498*M498</f>
        <v>120</v>
      </c>
      <c r="O498" s="15">
        <f>N498*$R$3</f>
        <v>1.7999999999999998</v>
      </c>
    </row>
    <row r="499" spans="1:15">
      <c r="A499" s="2">
        <v>498</v>
      </c>
      <c r="B499" s="4">
        <f>YEAR(F499)</f>
        <v>2023</v>
      </c>
      <c r="C499" s="4">
        <f>MONTH(F499)</f>
        <v>6</v>
      </c>
      <c r="D499" s="4">
        <f>DAY(F499)</f>
        <v>19</v>
      </c>
      <c r="E499" s="4" t="str">
        <f t="shared" si="7"/>
        <v>Monday</v>
      </c>
      <c r="F499" s="3">
        <v>45096</v>
      </c>
      <c r="G499" s="4" t="s">
        <v>530</v>
      </c>
      <c r="H499" s="4" t="s">
        <v>7</v>
      </c>
      <c r="I499" s="4">
        <v>50</v>
      </c>
      <c r="J499" s="4" t="str" cm="1">
        <f t="array" ref="J499">_xlfn.IFS(I499&lt;30,"Young Adult", I499&lt;50,"Adult",I499 &gt;=50,"Seniors")</f>
        <v>Seniors</v>
      </c>
      <c r="K499" s="4" t="s">
        <v>3</v>
      </c>
      <c r="L499" s="4">
        <v>4</v>
      </c>
      <c r="M499" s="5">
        <v>25</v>
      </c>
      <c r="N499">
        <f>L499*M499</f>
        <v>100</v>
      </c>
      <c r="O499" s="15">
        <f>N499*$R$3</f>
        <v>1.5</v>
      </c>
    </row>
    <row r="500" spans="1:15">
      <c r="A500" s="2">
        <v>499</v>
      </c>
      <c r="B500" s="4">
        <f>YEAR(F500)</f>
        <v>2023</v>
      </c>
      <c r="C500" s="4">
        <f>MONTH(F500)</f>
        <v>1</v>
      </c>
      <c r="D500" s="4">
        <f>DAY(F500)</f>
        <v>15</v>
      </c>
      <c r="E500" s="4" t="str">
        <f t="shared" si="7"/>
        <v>Sunday</v>
      </c>
      <c r="F500" s="3">
        <v>44941</v>
      </c>
      <c r="G500" s="4" t="s">
        <v>531</v>
      </c>
      <c r="H500" s="4" t="s">
        <v>8</v>
      </c>
      <c r="I500" s="4">
        <v>46</v>
      </c>
      <c r="J500" s="4" t="str" cm="1">
        <f t="array" ref="J500">_xlfn.IFS(I500&lt;30,"Young Adult", I500&lt;50,"Adult",I500 &gt;=50,"Seniors")</f>
        <v>Adult</v>
      </c>
      <c r="K500" s="4" t="s">
        <v>2</v>
      </c>
      <c r="L500" s="4">
        <v>2</v>
      </c>
      <c r="M500" s="5">
        <v>30</v>
      </c>
      <c r="N500">
        <f>L500*M500</f>
        <v>60</v>
      </c>
      <c r="O500" s="15">
        <f>N500*$R$3</f>
        <v>0.89999999999999991</v>
      </c>
    </row>
    <row r="501" spans="1:15">
      <c r="A501" s="2">
        <v>500</v>
      </c>
      <c r="B501" s="4">
        <f>YEAR(F501)</f>
        <v>2023</v>
      </c>
      <c r="C501" s="4">
        <f>MONTH(F501)</f>
        <v>3</v>
      </c>
      <c r="D501" s="4">
        <f>DAY(F501)</f>
        <v>1</v>
      </c>
      <c r="E501" s="4" t="str">
        <f t="shared" si="7"/>
        <v>Wednesday</v>
      </c>
      <c r="F501" s="3">
        <v>44986</v>
      </c>
      <c r="G501" s="4" t="s">
        <v>532</v>
      </c>
      <c r="H501" s="4" t="s">
        <v>7</v>
      </c>
      <c r="I501" s="4">
        <v>60</v>
      </c>
      <c r="J501" s="4" t="str" cm="1">
        <f t="array" ref="J501">_xlfn.IFS(I501&lt;30,"Young Adult", I501&lt;50,"Adult",I501 &gt;=50,"Seniors")</f>
        <v>Seniors</v>
      </c>
      <c r="K501" s="4" t="s">
        <v>2</v>
      </c>
      <c r="L501" s="4">
        <v>4</v>
      </c>
      <c r="M501" s="5">
        <v>25</v>
      </c>
      <c r="N501">
        <f>L501*M501</f>
        <v>100</v>
      </c>
      <c r="O501" s="15">
        <f>N501*$R$3</f>
        <v>1.5</v>
      </c>
    </row>
    <row r="502" spans="1:15">
      <c r="A502" s="2">
        <v>501</v>
      </c>
      <c r="B502" s="4">
        <f>YEAR(F502)</f>
        <v>2023</v>
      </c>
      <c r="C502" s="4">
        <f>MONTH(F502)</f>
        <v>5</v>
      </c>
      <c r="D502" s="4">
        <f>DAY(F502)</f>
        <v>14</v>
      </c>
      <c r="E502" s="4" t="str">
        <f t="shared" si="7"/>
        <v>Sunday</v>
      </c>
      <c r="F502" s="3">
        <v>45060</v>
      </c>
      <c r="G502" s="4" t="s">
        <v>533</v>
      </c>
      <c r="H502" s="4" t="s">
        <v>8</v>
      </c>
      <c r="I502" s="4">
        <v>39</v>
      </c>
      <c r="J502" s="4" t="str" cm="1">
        <f t="array" ref="J502">_xlfn.IFS(I502&lt;30,"Young Adult", I502&lt;50,"Adult",I502 &gt;=50,"Seniors")</f>
        <v>Adult</v>
      </c>
      <c r="K502" s="4" t="s">
        <v>4</v>
      </c>
      <c r="L502" s="4">
        <v>2</v>
      </c>
      <c r="M502" s="5">
        <v>30</v>
      </c>
      <c r="N502">
        <f>L502*M502</f>
        <v>60</v>
      </c>
      <c r="O502" s="15">
        <f>N502*$R$3</f>
        <v>0.89999999999999991</v>
      </c>
    </row>
    <row r="503" spans="1:15">
      <c r="A503" s="2">
        <v>502</v>
      </c>
      <c r="B503" s="4">
        <f>YEAR(F503)</f>
        <v>2023</v>
      </c>
      <c r="C503" s="4">
        <f>MONTH(F503)</f>
        <v>4</v>
      </c>
      <c r="D503" s="4">
        <f>DAY(F503)</f>
        <v>2</v>
      </c>
      <c r="E503" s="4" t="str">
        <f t="shared" si="7"/>
        <v>Sunday</v>
      </c>
      <c r="F503" s="3">
        <v>45018</v>
      </c>
      <c r="G503" s="4" t="s">
        <v>534</v>
      </c>
      <c r="H503" s="4" t="s">
        <v>8</v>
      </c>
      <c r="I503" s="4">
        <v>43</v>
      </c>
      <c r="J503" s="4" t="str" cm="1">
        <f t="array" ref="J503">_xlfn.IFS(I503&lt;30,"Young Adult", I503&lt;50,"Adult",I503 &gt;=50,"Seniors")</f>
        <v>Adult</v>
      </c>
      <c r="K503" s="4" t="s">
        <v>4</v>
      </c>
      <c r="L503" s="4">
        <v>3</v>
      </c>
      <c r="M503" s="5">
        <v>50</v>
      </c>
      <c r="N503">
        <f>L503*M503</f>
        <v>150</v>
      </c>
      <c r="O503" s="15">
        <f>N503*$R$3</f>
        <v>2.25</v>
      </c>
    </row>
    <row r="504" spans="1:15">
      <c r="A504" s="2">
        <v>503</v>
      </c>
      <c r="B504" s="4">
        <f>YEAR(F504)</f>
        <v>2023</v>
      </c>
      <c r="C504" s="4">
        <f>MONTH(F504)</f>
        <v>10</v>
      </c>
      <c r="D504" s="4">
        <f>DAY(F504)</f>
        <v>25</v>
      </c>
      <c r="E504" s="4" t="str">
        <f t="shared" si="7"/>
        <v>Wednesday</v>
      </c>
      <c r="F504" s="3">
        <v>45224</v>
      </c>
      <c r="G504" s="4" t="s">
        <v>535</v>
      </c>
      <c r="H504" s="4" t="s">
        <v>8</v>
      </c>
      <c r="I504" s="4">
        <v>45</v>
      </c>
      <c r="J504" s="4" t="str" cm="1">
        <f t="array" ref="J504">_xlfn.IFS(I504&lt;30,"Young Adult", I504&lt;50,"Adult",I504 &gt;=50,"Seniors")</f>
        <v>Adult</v>
      </c>
      <c r="K504" s="4" t="s">
        <v>2</v>
      </c>
      <c r="L504" s="4">
        <v>4</v>
      </c>
      <c r="M504" s="5">
        <v>500</v>
      </c>
      <c r="N504">
        <f>L504*M504</f>
        <v>2000</v>
      </c>
      <c r="O504" s="15">
        <f>N504*$R$3</f>
        <v>30</v>
      </c>
    </row>
    <row r="505" spans="1:15">
      <c r="A505" s="2">
        <v>504</v>
      </c>
      <c r="B505" s="4">
        <f>YEAR(F505)</f>
        <v>2023</v>
      </c>
      <c r="C505" s="4">
        <f>MONTH(F505)</f>
        <v>5</v>
      </c>
      <c r="D505" s="4">
        <f>DAY(F505)</f>
        <v>16</v>
      </c>
      <c r="E505" s="4" t="str">
        <f t="shared" si="7"/>
        <v>Tuesday</v>
      </c>
      <c r="F505" s="3">
        <v>45062</v>
      </c>
      <c r="G505" s="4" t="s">
        <v>536</v>
      </c>
      <c r="H505" s="4" t="s">
        <v>7</v>
      </c>
      <c r="I505" s="4">
        <v>38</v>
      </c>
      <c r="J505" s="4" t="str" cm="1">
        <f t="array" ref="J505">_xlfn.IFS(I505&lt;30,"Young Adult", I505&lt;50,"Adult",I505 &gt;=50,"Seniors")</f>
        <v>Adult</v>
      </c>
      <c r="K505" s="4" t="s">
        <v>2</v>
      </c>
      <c r="L505" s="4">
        <v>3</v>
      </c>
      <c r="M505" s="5">
        <v>50</v>
      </c>
      <c r="N505">
        <f>L505*M505</f>
        <v>150</v>
      </c>
      <c r="O505" s="15">
        <f>N505*$R$3</f>
        <v>2.25</v>
      </c>
    </row>
    <row r="506" spans="1:15">
      <c r="A506" s="2">
        <v>505</v>
      </c>
      <c r="B506" s="4">
        <f>YEAR(F506)</f>
        <v>2023</v>
      </c>
      <c r="C506" s="4">
        <f>MONTH(F506)</f>
        <v>1</v>
      </c>
      <c r="D506" s="4">
        <f>DAY(F506)</f>
        <v>20</v>
      </c>
      <c r="E506" s="4" t="str">
        <f t="shared" si="7"/>
        <v>Friday</v>
      </c>
      <c r="F506" s="3">
        <v>44946</v>
      </c>
      <c r="G506" s="4" t="s">
        <v>537</v>
      </c>
      <c r="H506" s="4" t="s">
        <v>8</v>
      </c>
      <c r="I506" s="4">
        <v>24</v>
      </c>
      <c r="J506" s="4" t="str" cm="1">
        <f t="array" ref="J506">_xlfn.IFS(I506&lt;30,"Young Adult", I506&lt;50,"Adult",I506 &gt;=50,"Seniors")</f>
        <v>Young Adult</v>
      </c>
      <c r="K506" s="4" t="s">
        <v>2</v>
      </c>
      <c r="L506" s="4">
        <v>1</v>
      </c>
      <c r="M506" s="5">
        <v>50</v>
      </c>
      <c r="N506">
        <f>L506*M506</f>
        <v>50</v>
      </c>
      <c r="O506" s="15">
        <f>N506*$R$3</f>
        <v>0.75</v>
      </c>
    </row>
    <row r="507" spans="1:15">
      <c r="A507" s="2">
        <v>506</v>
      </c>
      <c r="B507" s="4">
        <f>YEAR(F507)</f>
        <v>2023</v>
      </c>
      <c r="C507" s="4">
        <f>MONTH(F507)</f>
        <v>2</v>
      </c>
      <c r="D507" s="4">
        <f>DAY(F507)</f>
        <v>25</v>
      </c>
      <c r="E507" s="4" t="str">
        <f t="shared" si="7"/>
        <v>Saturday</v>
      </c>
      <c r="F507" s="3">
        <v>44982</v>
      </c>
      <c r="G507" s="4" t="s">
        <v>538</v>
      </c>
      <c r="H507" s="4" t="s">
        <v>8</v>
      </c>
      <c r="I507" s="4">
        <v>34</v>
      </c>
      <c r="J507" s="4" t="str" cm="1">
        <f t="array" ref="J507">_xlfn.IFS(I507&lt;30,"Young Adult", I507&lt;50,"Adult",I507 &gt;=50,"Seniors")</f>
        <v>Adult</v>
      </c>
      <c r="K507" s="4" t="s">
        <v>2</v>
      </c>
      <c r="L507" s="4">
        <v>3</v>
      </c>
      <c r="M507" s="5">
        <v>500</v>
      </c>
      <c r="N507">
        <f>L507*M507</f>
        <v>1500</v>
      </c>
      <c r="O507" s="15">
        <f>N507*$R$3</f>
        <v>22.5</v>
      </c>
    </row>
    <row r="508" spans="1:15">
      <c r="A508" s="2">
        <v>507</v>
      </c>
      <c r="B508" s="4">
        <f>YEAR(F508)</f>
        <v>2023</v>
      </c>
      <c r="C508" s="4">
        <f>MONTH(F508)</f>
        <v>11</v>
      </c>
      <c r="D508" s="4">
        <f>DAY(F508)</f>
        <v>2</v>
      </c>
      <c r="E508" s="4" t="str">
        <f t="shared" si="7"/>
        <v>Thursday</v>
      </c>
      <c r="F508" s="3">
        <v>45232</v>
      </c>
      <c r="G508" s="4" t="s">
        <v>539</v>
      </c>
      <c r="H508" s="4" t="s">
        <v>7</v>
      </c>
      <c r="I508" s="4">
        <v>37</v>
      </c>
      <c r="J508" s="4" t="str" cm="1">
        <f t="array" ref="J508">_xlfn.IFS(I508&lt;30,"Young Adult", I508&lt;50,"Adult",I508 &gt;=50,"Seniors")</f>
        <v>Adult</v>
      </c>
      <c r="K508" s="4" t="s">
        <v>4</v>
      </c>
      <c r="L508" s="4">
        <v>3</v>
      </c>
      <c r="M508" s="5">
        <v>500</v>
      </c>
      <c r="N508">
        <f>L508*M508</f>
        <v>1500</v>
      </c>
      <c r="O508" s="15">
        <f>N508*$R$3</f>
        <v>22.5</v>
      </c>
    </row>
    <row r="509" spans="1:15">
      <c r="A509" s="2">
        <v>508</v>
      </c>
      <c r="B509" s="4">
        <f>YEAR(F509)</f>
        <v>2023</v>
      </c>
      <c r="C509" s="4">
        <f>MONTH(F509)</f>
        <v>8</v>
      </c>
      <c r="D509" s="4">
        <f>DAY(F509)</f>
        <v>11</v>
      </c>
      <c r="E509" s="4" t="str">
        <f t="shared" si="7"/>
        <v>Friday</v>
      </c>
      <c r="F509" s="3">
        <v>45149</v>
      </c>
      <c r="G509" s="4" t="s">
        <v>540</v>
      </c>
      <c r="H509" s="4" t="s">
        <v>8</v>
      </c>
      <c r="I509" s="4">
        <v>58</v>
      </c>
      <c r="J509" s="4" t="str" cm="1">
        <f t="array" ref="J509">_xlfn.IFS(I509&lt;30,"Young Adult", I509&lt;50,"Adult",I509 &gt;=50,"Seniors")</f>
        <v>Seniors</v>
      </c>
      <c r="K509" s="4" t="s">
        <v>2</v>
      </c>
      <c r="L509" s="4">
        <v>2</v>
      </c>
      <c r="M509" s="5">
        <v>300</v>
      </c>
      <c r="N509">
        <f>L509*M509</f>
        <v>600</v>
      </c>
      <c r="O509" s="15">
        <f>N509*$R$3</f>
        <v>9</v>
      </c>
    </row>
    <row r="510" spans="1:15">
      <c r="A510" s="2">
        <v>509</v>
      </c>
      <c r="B510" s="4">
        <f>YEAR(F510)</f>
        <v>2023</v>
      </c>
      <c r="C510" s="4">
        <f>MONTH(F510)</f>
        <v>6</v>
      </c>
      <c r="D510" s="4">
        <f>DAY(F510)</f>
        <v>26</v>
      </c>
      <c r="E510" s="4" t="str">
        <f t="shared" si="7"/>
        <v>Monday</v>
      </c>
      <c r="F510" s="3">
        <v>45103</v>
      </c>
      <c r="G510" s="4" t="s">
        <v>541</v>
      </c>
      <c r="H510" s="4" t="s">
        <v>7</v>
      </c>
      <c r="I510" s="4">
        <v>37</v>
      </c>
      <c r="J510" s="4" t="str" cm="1">
        <f t="array" ref="J510">_xlfn.IFS(I510&lt;30,"Young Adult", I510&lt;50,"Adult",I510 &gt;=50,"Seniors")</f>
        <v>Adult</v>
      </c>
      <c r="K510" s="4" t="s">
        <v>4</v>
      </c>
      <c r="L510" s="4">
        <v>3</v>
      </c>
      <c r="M510" s="5">
        <v>300</v>
      </c>
      <c r="N510">
        <f>L510*M510</f>
        <v>900</v>
      </c>
      <c r="O510" s="15">
        <f>N510*$R$3</f>
        <v>13.5</v>
      </c>
    </row>
    <row r="511" spans="1:15">
      <c r="A511" s="2">
        <v>510</v>
      </c>
      <c r="B511" s="4">
        <f>YEAR(F511)</f>
        <v>2023</v>
      </c>
      <c r="C511" s="4">
        <f>MONTH(F511)</f>
        <v>6</v>
      </c>
      <c r="D511" s="4">
        <f>DAY(F511)</f>
        <v>10</v>
      </c>
      <c r="E511" s="4" t="str">
        <f t="shared" si="7"/>
        <v>Saturday</v>
      </c>
      <c r="F511" s="3">
        <v>45087</v>
      </c>
      <c r="G511" s="4" t="s">
        <v>542</v>
      </c>
      <c r="H511" s="4" t="s">
        <v>7</v>
      </c>
      <c r="I511" s="4">
        <v>39</v>
      </c>
      <c r="J511" s="4" t="str" cm="1">
        <f t="array" ref="J511">_xlfn.IFS(I511&lt;30,"Young Adult", I511&lt;50,"Adult",I511 &gt;=50,"Seniors")</f>
        <v>Adult</v>
      </c>
      <c r="K511" s="4" t="s">
        <v>2</v>
      </c>
      <c r="L511" s="4">
        <v>4</v>
      </c>
      <c r="M511" s="5">
        <v>50</v>
      </c>
      <c r="N511">
        <f>L511*M511</f>
        <v>200</v>
      </c>
      <c r="O511" s="15">
        <f>N511*$R$3</f>
        <v>3</v>
      </c>
    </row>
    <row r="512" spans="1:15">
      <c r="A512" s="2">
        <v>511</v>
      </c>
      <c r="B512" s="4">
        <f>YEAR(F512)</f>
        <v>2023</v>
      </c>
      <c r="C512" s="4">
        <f>MONTH(F512)</f>
        <v>8</v>
      </c>
      <c r="D512" s="4">
        <f>DAY(F512)</f>
        <v>12</v>
      </c>
      <c r="E512" s="4" t="str">
        <f t="shared" si="7"/>
        <v>Saturday</v>
      </c>
      <c r="F512" s="3">
        <v>45150</v>
      </c>
      <c r="G512" s="4" t="s">
        <v>543</v>
      </c>
      <c r="H512" s="4" t="s">
        <v>8</v>
      </c>
      <c r="I512" s="4">
        <v>45</v>
      </c>
      <c r="J512" s="4" t="str" cm="1">
        <f t="array" ref="J512">_xlfn.IFS(I512&lt;30,"Young Adult", I512&lt;50,"Adult",I512 &gt;=50,"Seniors")</f>
        <v>Adult</v>
      </c>
      <c r="K512" s="4" t="s">
        <v>2</v>
      </c>
      <c r="L512" s="4">
        <v>2</v>
      </c>
      <c r="M512" s="5">
        <v>50</v>
      </c>
      <c r="N512">
        <f>L512*M512</f>
        <v>100</v>
      </c>
      <c r="O512" s="15">
        <f>N512*$R$3</f>
        <v>1.5</v>
      </c>
    </row>
    <row r="513" spans="1:15">
      <c r="A513" s="2">
        <v>512</v>
      </c>
      <c r="B513" s="4">
        <f>YEAR(F513)</f>
        <v>2023</v>
      </c>
      <c r="C513" s="4">
        <f>MONTH(F513)</f>
        <v>11</v>
      </c>
      <c r="D513" s="4">
        <f>DAY(F513)</f>
        <v>7</v>
      </c>
      <c r="E513" s="4" t="str">
        <f t="shared" si="7"/>
        <v>Tuesday</v>
      </c>
      <c r="F513" s="3">
        <v>45237</v>
      </c>
      <c r="G513" s="4" t="s">
        <v>544</v>
      </c>
      <c r="H513" s="4" t="s">
        <v>7</v>
      </c>
      <c r="I513" s="4">
        <v>57</v>
      </c>
      <c r="J513" s="4" t="str" cm="1">
        <f t="array" ref="J513">_xlfn.IFS(I513&lt;30,"Young Adult", I513&lt;50,"Adult",I513 &gt;=50,"Seniors")</f>
        <v>Seniors</v>
      </c>
      <c r="K513" s="4" t="s">
        <v>2</v>
      </c>
      <c r="L513" s="4">
        <v>1</v>
      </c>
      <c r="M513" s="5">
        <v>25</v>
      </c>
      <c r="N513">
        <f>L513*M513</f>
        <v>25</v>
      </c>
      <c r="O513" s="15">
        <f>N513*$R$3</f>
        <v>0.375</v>
      </c>
    </row>
    <row r="514" spans="1:15">
      <c r="A514" s="2">
        <v>513</v>
      </c>
      <c r="B514" s="4">
        <f>YEAR(F514)</f>
        <v>2023</v>
      </c>
      <c r="C514" s="4">
        <f>MONTH(F514)</f>
        <v>9</v>
      </c>
      <c r="D514" s="4">
        <f>DAY(F514)</f>
        <v>19</v>
      </c>
      <c r="E514" s="4" t="str">
        <f t="shared" si="7"/>
        <v>Tuesday</v>
      </c>
      <c r="F514" s="3">
        <v>45188</v>
      </c>
      <c r="G514" s="4" t="s">
        <v>545</v>
      </c>
      <c r="H514" s="4" t="s">
        <v>8</v>
      </c>
      <c r="I514" s="4">
        <v>24</v>
      </c>
      <c r="J514" s="4" t="str" cm="1">
        <f t="array" ref="J514">_xlfn.IFS(I514&lt;30,"Young Adult", I514&lt;50,"Adult",I514 &gt;=50,"Seniors")</f>
        <v>Young Adult</v>
      </c>
      <c r="K514" s="4" t="s">
        <v>4</v>
      </c>
      <c r="L514" s="4">
        <v>4</v>
      </c>
      <c r="M514" s="5">
        <v>25</v>
      </c>
      <c r="N514">
        <f>L514*M514</f>
        <v>100</v>
      </c>
      <c r="O514" s="15">
        <f>N514*$R$3</f>
        <v>1.5</v>
      </c>
    </row>
    <row r="515" spans="1:15">
      <c r="A515" s="2">
        <v>514</v>
      </c>
      <c r="B515" s="4">
        <f>YEAR(F515)</f>
        <v>2023</v>
      </c>
      <c r="C515" s="4">
        <f>MONTH(F515)</f>
        <v>3</v>
      </c>
      <c r="D515" s="4">
        <f>DAY(F515)</f>
        <v>1</v>
      </c>
      <c r="E515" s="4" t="str">
        <f t="shared" ref="E515:E578" si="8">TEXT(F515,"dddd")</f>
        <v>Wednesday</v>
      </c>
      <c r="F515" s="3">
        <v>44986</v>
      </c>
      <c r="G515" s="4" t="s">
        <v>546</v>
      </c>
      <c r="H515" s="4" t="s">
        <v>7</v>
      </c>
      <c r="I515" s="4">
        <v>18</v>
      </c>
      <c r="J515" s="4" t="str" cm="1">
        <f t="array" ref="J515">_xlfn.IFS(I515&lt;30,"Young Adult", I515&lt;50,"Adult",I515 &gt;=50,"Seniors")</f>
        <v>Young Adult</v>
      </c>
      <c r="K515" s="4" t="s">
        <v>4</v>
      </c>
      <c r="L515" s="4">
        <v>1</v>
      </c>
      <c r="M515" s="5">
        <v>300</v>
      </c>
      <c r="N515">
        <f>L515*M515</f>
        <v>300</v>
      </c>
      <c r="O515" s="15">
        <f>N515*$R$3</f>
        <v>4.5</v>
      </c>
    </row>
    <row r="516" spans="1:15">
      <c r="A516" s="2">
        <v>515</v>
      </c>
      <c r="B516" s="4">
        <f>YEAR(F516)</f>
        <v>2023</v>
      </c>
      <c r="C516" s="4">
        <f>MONTH(F516)</f>
        <v>7</v>
      </c>
      <c r="D516" s="4">
        <f>DAY(F516)</f>
        <v>17</v>
      </c>
      <c r="E516" s="4" t="str">
        <f t="shared" si="8"/>
        <v>Monday</v>
      </c>
      <c r="F516" s="3">
        <v>45124</v>
      </c>
      <c r="G516" s="4" t="s">
        <v>547</v>
      </c>
      <c r="H516" s="4" t="s">
        <v>7</v>
      </c>
      <c r="I516" s="4">
        <v>49</v>
      </c>
      <c r="J516" s="4" t="str" cm="1">
        <f t="array" ref="J516">_xlfn.IFS(I516&lt;30,"Young Adult", I516&lt;50,"Adult",I516 &gt;=50,"Seniors")</f>
        <v>Adult</v>
      </c>
      <c r="K516" s="4" t="s">
        <v>3</v>
      </c>
      <c r="L516" s="4">
        <v>3</v>
      </c>
      <c r="M516" s="5">
        <v>300</v>
      </c>
      <c r="N516">
        <f>L516*M516</f>
        <v>900</v>
      </c>
      <c r="O516" s="15">
        <f>N516*$R$3</f>
        <v>13.5</v>
      </c>
    </row>
    <row r="517" spans="1:15">
      <c r="A517" s="2">
        <v>516</v>
      </c>
      <c r="B517" s="4">
        <f>YEAR(F517)</f>
        <v>2023</v>
      </c>
      <c r="C517" s="4">
        <f>MONTH(F517)</f>
        <v>10</v>
      </c>
      <c r="D517" s="4">
        <f>DAY(F517)</f>
        <v>23</v>
      </c>
      <c r="E517" s="4" t="str">
        <f t="shared" si="8"/>
        <v>Monday</v>
      </c>
      <c r="F517" s="3">
        <v>45222</v>
      </c>
      <c r="G517" s="4" t="s">
        <v>548</v>
      </c>
      <c r="H517" s="4" t="s">
        <v>8</v>
      </c>
      <c r="I517" s="4">
        <v>30</v>
      </c>
      <c r="J517" s="4" t="str" cm="1">
        <f t="array" ref="J517">_xlfn.IFS(I517&lt;30,"Young Adult", I517&lt;50,"Adult",I517 &gt;=50,"Seniors")</f>
        <v>Adult</v>
      </c>
      <c r="K517" s="4" t="s">
        <v>2</v>
      </c>
      <c r="L517" s="4">
        <v>4</v>
      </c>
      <c r="M517" s="5">
        <v>25</v>
      </c>
      <c r="N517">
        <f>L517*M517</f>
        <v>100</v>
      </c>
      <c r="O517" s="15">
        <f>N517*$R$3</f>
        <v>1.5</v>
      </c>
    </row>
    <row r="518" spans="1:15">
      <c r="A518" s="2">
        <v>517</v>
      </c>
      <c r="B518" s="4">
        <f>YEAR(F518)</f>
        <v>2023</v>
      </c>
      <c r="C518" s="4">
        <f>MONTH(F518)</f>
        <v>4</v>
      </c>
      <c r="D518" s="4">
        <f>DAY(F518)</f>
        <v>8</v>
      </c>
      <c r="E518" s="4" t="str">
        <f t="shared" si="8"/>
        <v>Saturday</v>
      </c>
      <c r="F518" s="3">
        <v>45024</v>
      </c>
      <c r="G518" s="4" t="s">
        <v>549</v>
      </c>
      <c r="H518" s="4" t="s">
        <v>7</v>
      </c>
      <c r="I518" s="4">
        <v>47</v>
      </c>
      <c r="J518" s="4" t="str" cm="1">
        <f t="array" ref="J518">_xlfn.IFS(I518&lt;30,"Young Adult", I518&lt;50,"Adult",I518 &gt;=50,"Seniors")</f>
        <v>Adult</v>
      </c>
      <c r="K518" s="4" t="s">
        <v>3</v>
      </c>
      <c r="L518" s="4">
        <v>4</v>
      </c>
      <c r="M518" s="5">
        <v>25</v>
      </c>
      <c r="N518">
        <f>L518*M518</f>
        <v>100</v>
      </c>
      <c r="O518" s="15">
        <f>N518*$R$3</f>
        <v>1.5</v>
      </c>
    </row>
    <row r="519" spans="1:15">
      <c r="A519" s="2">
        <v>518</v>
      </c>
      <c r="B519" s="4">
        <f>YEAR(F519)</f>
        <v>2023</v>
      </c>
      <c r="C519" s="4">
        <f>MONTH(F519)</f>
        <v>5</v>
      </c>
      <c r="D519" s="4">
        <f>DAY(F519)</f>
        <v>11</v>
      </c>
      <c r="E519" s="4" t="str">
        <f t="shared" si="8"/>
        <v>Thursday</v>
      </c>
      <c r="F519" s="3">
        <v>45057</v>
      </c>
      <c r="G519" s="4" t="s">
        <v>550</v>
      </c>
      <c r="H519" s="4" t="s">
        <v>7</v>
      </c>
      <c r="I519" s="4">
        <v>40</v>
      </c>
      <c r="J519" s="4" t="str" cm="1">
        <f t="array" ref="J519">_xlfn.IFS(I519&lt;30,"Young Adult", I519&lt;50,"Adult",I519 &gt;=50,"Seniors")</f>
        <v>Adult</v>
      </c>
      <c r="K519" s="4" t="s">
        <v>3</v>
      </c>
      <c r="L519" s="4">
        <v>1</v>
      </c>
      <c r="M519" s="5">
        <v>30</v>
      </c>
      <c r="N519">
        <f>L519*M519</f>
        <v>30</v>
      </c>
      <c r="O519" s="15">
        <f>N519*$R$3</f>
        <v>0.44999999999999996</v>
      </c>
    </row>
    <row r="520" spans="1:15">
      <c r="A520" s="2">
        <v>519</v>
      </c>
      <c r="B520" s="4">
        <f>YEAR(F520)</f>
        <v>2023</v>
      </c>
      <c r="C520" s="4">
        <f>MONTH(F520)</f>
        <v>1</v>
      </c>
      <c r="D520" s="4">
        <f>DAY(F520)</f>
        <v>23</v>
      </c>
      <c r="E520" s="4" t="str">
        <f t="shared" si="8"/>
        <v>Monday</v>
      </c>
      <c r="F520" s="3">
        <v>44949</v>
      </c>
      <c r="G520" s="4" t="s">
        <v>551</v>
      </c>
      <c r="H520" s="4" t="s">
        <v>7</v>
      </c>
      <c r="I520" s="4">
        <v>36</v>
      </c>
      <c r="J520" s="4" t="str" cm="1">
        <f t="array" ref="J520">_xlfn.IFS(I520&lt;30,"Young Adult", I520&lt;50,"Adult",I520 &gt;=50,"Seniors")</f>
        <v>Adult</v>
      </c>
      <c r="K520" s="4" t="s">
        <v>4</v>
      </c>
      <c r="L520" s="4">
        <v>4</v>
      </c>
      <c r="M520" s="5">
        <v>30</v>
      </c>
      <c r="N520">
        <f>L520*M520</f>
        <v>120</v>
      </c>
      <c r="O520" s="15">
        <f>N520*$R$3</f>
        <v>1.7999999999999998</v>
      </c>
    </row>
    <row r="521" spans="1:15">
      <c r="A521" s="2">
        <v>520</v>
      </c>
      <c r="B521" s="4">
        <f>YEAR(F521)</f>
        <v>2023</v>
      </c>
      <c r="C521" s="4">
        <f>MONTH(F521)</f>
        <v>12</v>
      </c>
      <c r="D521" s="4">
        <f>DAY(F521)</f>
        <v>29</v>
      </c>
      <c r="E521" s="4" t="str">
        <f t="shared" si="8"/>
        <v>Friday</v>
      </c>
      <c r="F521" s="3">
        <v>45289</v>
      </c>
      <c r="G521" s="4" t="s">
        <v>552</v>
      </c>
      <c r="H521" s="4" t="s">
        <v>7</v>
      </c>
      <c r="I521" s="4">
        <v>49</v>
      </c>
      <c r="J521" s="4" t="str" cm="1">
        <f t="array" ref="J521">_xlfn.IFS(I521&lt;30,"Young Adult", I521&lt;50,"Adult",I521 &gt;=50,"Seniors")</f>
        <v>Adult</v>
      </c>
      <c r="K521" s="4" t="s">
        <v>4</v>
      </c>
      <c r="L521" s="4">
        <v>4</v>
      </c>
      <c r="M521" s="5">
        <v>25</v>
      </c>
      <c r="N521">
        <f>L521*M521</f>
        <v>100</v>
      </c>
      <c r="O521" s="15">
        <f>N521*$R$3</f>
        <v>1.5</v>
      </c>
    </row>
    <row r="522" spans="1:15">
      <c r="A522" s="2">
        <v>521</v>
      </c>
      <c r="B522" s="4">
        <f>YEAR(F522)</f>
        <v>2023</v>
      </c>
      <c r="C522" s="4">
        <f>MONTH(F522)</f>
        <v>8</v>
      </c>
      <c r="D522" s="4">
        <f>DAY(F522)</f>
        <v>12</v>
      </c>
      <c r="E522" s="4" t="str">
        <f t="shared" si="8"/>
        <v>Saturday</v>
      </c>
      <c r="F522" s="3">
        <v>45150</v>
      </c>
      <c r="G522" s="4" t="s">
        <v>553</v>
      </c>
      <c r="H522" s="4" t="s">
        <v>7</v>
      </c>
      <c r="I522" s="4">
        <v>47</v>
      </c>
      <c r="J522" s="4" t="str" cm="1">
        <f t="array" ref="J522">_xlfn.IFS(I522&lt;30,"Young Adult", I522&lt;50,"Adult",I522 &gt;=50,"Seniors")</f>
        <v>Adult</v>
      </c>
      <c r="K522" s="4" t="s">
        <v>3</v>
      </c>
      <c r="L522" s="4">
        <v>4</v>
      </c>
      <c r="M522" s="5">
        <v>30</v>
      </c>
      <c r="N522">
        <f>L522*M522</f>
        <v>120</v>
      </c>
      <c r="O522" s="15">
        <f>N522*$R$3</f>
        <v>1.7999999999999998</v>
      </c>
    </row>
    <row r="523" spans="1:15">
      <c r="A523" s="2">
        <v>522</v>
      </c>
      <c r="B523" s="4">
        <f>YEAR(F523)</f>
        <v>2023</v>
      </c>
      <c r="C523" s="4">
        <f>MONTH(F523)</f>
        <v>1</v>
      </c>
      <c r="D523" s="4">
        <f>DAY(F523)</f>
        <v>1</v>
      </c>
      <c r="E523" s="4" t="str">
        <f t="shared" si="8"/>
        <v>Sunday</v>
      </c>
      <c r="F523" s="3">
        <v>44927</v>
      </c>
      <c r="G523" s="4" t="s">
        <v>554</v>
      </c>
      <c r="H523" s="4" t="s">
        <v>8</v>
      </c>
      <c r="I523" s="4">
        <v>46</v>
      </c>
      <c r="J523" s="4" t="str" cm="1">
        <f t="array" ref="J523">_xlfn.IFS(I523&lt;30,"Young Adult", I523&lt;50,"Adult",I523 &gt;=50,"Seniors")</f>
        <v>Adult</v>
      </c>
      <c r="K523" s="4" t="s">
        <v>2</v>
      </c>
      <c r="L523" s="4">
        <v>3</v>
      </c>
      <c r="M523" s="5">
        <v>500</v>
      </c>
      <c r="N523">
        <f>L523*M523</f>
        <v>1500</v>
      </c>
      <c r="O523" s="15">
        <f>N523*$R$3</f>
        <v>22.5</v>
      </c>
    </row>
    <row r="524" spans="1:15">
      <c r="A524" s="2">
        <v>523</v>
      </c>
      <c r="B524" s="4">
        <f>YEAR(F524)</f>
        <v>2023</v>
      </c>
      <c r="C524" s="4">
        <f>MONTH(F524)</f>
        <v>9</v>
      </c>
      <c r="D524" s="4">
        <f>DAY(F524)</f>
        <v>24</v>
      </c>
      <c r="E524" s="4" t="str">
        <f t="shared" si="8"/>
        <v>Sunday</v>
      </c>
      <c r="F524" s="3">
        <v>45193</v>
      </c>
      <c r="G524" s="4" t="s">
        <v>555</v>
      </c>
      <c r="H524" s="4" t="s">
        <v>7</v>
      </c>
      <c r="I524" s="4">
        <v>62</v>
      </c>
      <c r="J524" s="4" t="str" cm="1">
        <f t="array" ref="J524">_xlfn.IFS(I524&lt;30,"Young Adult", I524&lt;50,"Adult",I524 &gt;=50,"Seniors")</f>
        <v>Seniors</v>
      </c>
      <c r="K524" s="4" t="s">
        <v>4</v>
      </c>
      <c r="L524" s="4">
        <v>1</v>
      </c>
      <c r="M524" s="5">
        <v>300</v>
      </c>
      <c r="N524">
        <f>L524*M524</f>
        <v>300</v>
      </c>
      <c r="O524" s="15">
        <f>N524*$R$3</f>
        <v>4.5</v>
      </c>
    </row>
    <row r="525" spans="1:15">
      <c r="A525" s="2">
        <v>524</v>
      </c>
      <c r="B525" s="4">
        <f>YEAR(F525)</f>
        <v>2023</v>
      </c>
      <c r="C525" s="4">
        <f>MONTH(F525)</f>
        <v>10</v>
      </c>
      <c r="D525" s="4">
        <f>DAY(F525)</f>
        <v>3</v>
      </c>
      <c r="E525" s="4" t="str">
        <f t="shared" si="8"/>
        <v>Tuesday</v>
      </c>
      <c r="F525" s="3">
        <v>45202</v>
      </c>
      <c r="G525" s="4" t="s">
        <v>556</v>
      </c>
      <c r="H525" s="4" t="s">
        <v>8</v>
      </c>
      <c r="I525" s="4">
        <v>46</v>
      </c>
      <c r="J525" s="4" t="str" cm="1">
        <f t="array" ref="J525">_xlfn.IFS(I525&lt;30,"Young Adult", I525&lt;50,"Adult",I525 &gt;=50,"Seniors")</f>
        <v>Adult</v>
      </c>
      <c r="K525" s="4" t="s">
        <v>2</v>
      </c>
      <c r="L525" s="4">
        <v>4</v>
      </c>
      <c r="M525" s="5">
        <v>300</v>
      </c>
      <c r="N525">
        <f>L525*M525</f>
        <v>1200</v>
      </c>
      <c r="O525" s="15">
        <f>N525*$R$3</f>
        <v>18</v>
      </c>
    </row>
    <row r="526" spans="1:15">
      <c r="A526" s="2">
        <v>525</v>
      </c>
      <c r="B526" s="4">
        <f>YEAR(F526)</f>
        <v>2023</v>
      </c>
      <c r="C526" s="4">
        <f>MONTH(F526)</f>
        <v>12</v>
      </c>
      <c r="D526" s="4">
        <f>DAY(F526)</f>
        <v>18</v>
      </c>
      <c r="E526" s="4" t="str">
        <f t="shared" si="8"/>
        <v>Monday</v>
      </c>
      <c r="F526" s="3">
        <v>45278</v>
      </c>
      <c r="G526" s="4" t="s">
        <v>557</v>
      </c>
      <c r="H526" s="4" t="s">
        <v>7</v>
      </c>
      <c r="I526" s="4">
        <v>47</v>
      </c>
      <c r="J526" s="4" t="str" cm="1">
        <f t="array" ref="J526">_xlfn.IFS(I526&lt;30,"Young Adult", I526&lt;50,"Adult",I526 &gt;=50,"Seniors")</f>
        <v>Adult</v>
      </c>
      <c r="K526" s="4" t="s">
        <v>2</v>
      </c>
      <c r="L526" s="4">
        <v>2</v>
      </c>
      <c r="M526" s="5">
        <v>25</v>
      </c>
      <c r="N526">
        <f>L526*M526</f>
        <v>50</v>
      </c>
      <c r="O526" s="15">
        <f>N526*$R$3</f>
        <v>0.75</v>
      </c>
    </row>
    <row r="527" spans="1:15">
      <c r="A527" s="2">
        <v>526</v>
      </c>
      <c r="B527" s="4">
        <f>YEAR(F527)</f>
        <v>2023</v>
      </c>
      <c r="C527" s="4">
        <f>MONTH(F527)</f>
        <v>12</v>
      </c>
      <c r="D527" s="4">
        <f>DAY(F527)</f>
        <v>10</v>
      </c>
      <c r="E527" s="4" t="str">
        <f t="shared" si="8"/>
        <v>Sunday</v>
      </c>
      <c r="F527" s="3">
        <v>45270</v>
      </c>
      <c r="G527" s="4" t="s">
        <v>558</v>
      </c>
      <c r="H527" s="4" t="s">
        <v>8</v>
      </c>
      <c r="I527" s="4">
        <v>33</v>
      </c>
      <c r="J527" s="4" t="str" cm="1">
        <f t="array" ref="J527">_xlfn.IFS(I527&lt;30,"Young Adult", I527&lt;50,"Adult",I527 &gt;=50,"Seniors")</f>
        <v>Adult</v>
      </c>
      <c r="K527" s="4" t="s">
        <v>3</v>
      </c>
      <c r="L527" s="4">
        <v>2</v>
      </c>
      <c r="M527" s="5">
        <v>50</v>
      </c>
      <c r="N527">
        <f>L527*M527</f>
        <v>100</v>
      </c>
      <c r="O527" s="15">
        <f>N527*$R$3</f>
        <v>1.5</v>
      </c>
    </row>
    <row r="528" spans="1:15">
      <c r="A528" s="2">
        <v>527</v>
      </c>
      <c r="B528" s="4">
        <f>YEAR(F528)</f>
        <v>2023</v>
      </c>
      <c r="C528" s="4">
        <f>MONTH(F528)</f>
        <v>4</v>
      </c>
      <c r="D528" s="4">
        <f>DAY(F528)</f>
        <v>11</v>
      </c>
      <c r="E528" s="4" t="str">
        <f t="shared" si="8"/>
        <v>Tuesday</v>
      </c>
      <c r="F528" s="3">
        <v>45027</v>
      </c>
      <c r="G528" s="4" t="s">
        <v>559</v>
      </c>
      <c r="H528" s="4" t="s">
        <v>8</v>
      </c>
      <c r="I528" s="4">
        <v>57</v>
      </c>
      <c r="J528" s="4" t="str" cm="1">
        <f t="array" ref="J528">_xlfn.IFS(I528&lt;30,"Young Adult", I528&lt;50,"Adult",I528 &gt;=50,"Seniors")</f>
        <v>Seniors</v>
      </c>
      <c r="K528" s="4" t="s">
        <v>3</v>
      </c>
      <c r="L528" s="4">
        <v>2</v>
      </c>
      <c r="M528" s="5">
        <v>25</v>
      </c>
      <c r="N528">
        <f>L528*M528</f>
        <v>50</v>
      </c>
      <c r="O528" s="15">
        <f>N528*$R$3</f>
        <v>0.75</v>
      </c>
    </row>
    <row r="529" spans="1:15">
      <c r="A529" s="2">
        <v>528</v>
      </c>
      <c r="B529" s="4">
        <f>YEAR(F529)</f>
        <v>2023</v>
      </c>
      <c r="C529" s="4">
        <f>MONTH(F529)</f>
        <v>7</v>
      </c>
      <c r="D529" s="4">
        <f>DAY(F529)</f>
        <v>6</v>
      </c>
      <c r="E529" s="4" t="str">
        <f t="shared" si="8"/>
        <v>Thursday</v>
      </c>
      <c r="F529" s="3">
        <v>45113</v>
      </c>
      <c r="G529" s="4" t="s">
        <v>560</v>
      </c>
      <c r="H529" s="4" t="s">
        <v>7</v>
      </c>
      <c r="I529" s="4">
        <v>36</v>
      </c>
      <c r="J529" s="4" t="str" cm="1">
        <f t="array" ref="J529">_xlfn.IFS(I529&lt;30,"Young Adult", I529&lt;50,"Adult",I529 &gt;=50,"Seniors")</f>
        <v>Adult</v>
      </c>
      <c r="K529" s="4" t="s">
        <v>3</v>
      </c>
      <c r="L529" s="4">
        <v>2</v>
      </c>
      <c r="M529" s="5">
        <v>30</v>
      </c>
      <c r="N529">
        <f>L529*M529</f>
        <v>60</v>
      </c>
      <c r="O529" s="15">
        <f>N529*$R$3</f>
        <v>0.89999999999999991</v>
      </c>
    </row>
    <row r="530" spans="1:15">
      <c r="A530" s="2">
        <v>529</v>
      </c>
      <c r="B530" s="4">
        <f>YEAR(F530)</f>
        <v>2023</v>
      </c>
      <c r="C530" s="4">
        <f>MONTH(F530)</f>
        <v>8</v>
      </c>
      <c r="D530" s="4">
        <f>DAY(F530)</f>
        <v>9</v>
      </c>
      <c r="E530" s="4" t="str">
        <f t="shared" si="8"/>
        <v>Wednesday</v>
      </c>
      <c r="F530" s="3">
        <v>45147</v>
      </c>
      <c r="G530" s="4" t="s">
        <v>561</v>
      </c>
      <c r="H530" s="4" t="s">
        <v>7</v>
      </c>
      <c r="I530" s="4">
        <v>35</v>
      </c>
      <c r="J530" s="4" t="str" cm="1">
        <f t="array" ref="J530">_xlfn.IFS(I530&lt;30,"Young Adult", I530&lt;50,"Adult",I530 &gt;=50,"Seniors")</f>
        <v>Adult</v>
      </c>
      <c r="K530" s="4" t="s">
        <v>3</v>
      </c>
      <c r="L530" s="4">
        <v>3</v>
      </c>
      <c r="M530" s="5">
        <v>50</v>
      </c>
      <c r="N530">
        <f>L530*M530</f>
        <v>150</v>
      </c>
      <c r="O530" s="15">
        <f>N530*$R$3</f>
        <v>2.25</v>
      </c>
    </row>
    <row r="531" spans="1:15">
      <c r="A531" s="2">
        <v>530</v>
      </c>
      <c r="B531" s="4">
        <f>YEAR(F531)</f>
        <v>2023</v>
      </c>
      <c r="C531" s="4">
        <f>MONTH(F531)</f>
        <v>2</v>
      </c>
      <c r="D531" s="4">
        <f>DAY(F531)</f>
        <v>5</v>
      </c>
      <c r="E531" s="4" t="str">
        <f t="shared" si="8"/>
        <v>Sunday</v>
      </c>
      <c r="F531" s="3">
        <v>44962</v>
      </c>
      <c r="G531" s="4" t="s">
        <v>562</v>
      </c>
      <c r="H531" s="4" t="s">
        <v>7</v>
      </c>
      <c r="I531" s="4">
        <v>18</v>
      </c>
      <c r="J531" s="4" t="str" cm="1">
        <f t="array" ref="J531">_xlfn.IFS(I531&lt;30,"Young Adult", I531&lt;50,"Adult",I531 &gt;=50,"Seniors")</f>
        <v>Young Adult</v>
      </c>
      <c r="K531" s="4" t="s">
        <v>4</v>
      </c>
      <c r="L531" s="4">
        <v>4</v>
      </c>
      <c r="M531" s="5">
        <v>30</v>
      </c>
      <c r="N531">
        <f>L531*M531</f>
        <v>120</v>
      </c>
      <c r="O531" s="15">
        <f>N531*$R$3</f>
        <v>1.7999999999999998</v>
      </c>
    </row>
    <row r="532" spans="1:15">
      <c r="A532" s="2">
        <v>531</v>
      </c>
      <c r="B532" s="4">
        <f>YEAR(F532)</f>
        <v>2023</v>
      </c>
      <c r="C532" s="4">
        <f>MONTH(F532)</f>
        <v>12</v>
      </c>
      <c r="D532" s="4">
        <f>DAY(F532)</f>
        <v>7</v>
      </c>
      <c r="E532" s="4" t="str">
        <f t="shared" si="8"/>
        <v>Thursday</v>
      </c>
      <c r="F532" s="3">
        <v>45267</v>
      </c>
      <c r="G532" s="4" t="s">
        <v>563</v>
      </c>
      <c r="H532" s="4" t="s">
        <v>8</v>
      </c>
      <c r="I532" s="4">
        <v>31</v>
      </c>
      <c r="J532" s="4" t="str" cm="1">
        <f t="array" ref="J532">_xlfn.IFS(I532&lt;30,"Young Adult", I532&lt;50,"Adult",I532 &gt;=50,"Seniors")</f>
        <v>Adult</v>
      </c>
      <c r="K532" s="4" t="s">
        <v>4</v>
      </c>
      <c r="L532" s="4">
        <v>1</v>
      </c>
      <c r="M532" s="5">
        <v>500</v>
      </c>
      <c r="N532">
        <f>L532*M532</f>
        <v>500</v>
      </c>
      <c r="O532" s="15">
        <f>N532*$R$3</f>
        <v>7.5</v>
      </c>
    </row>
    <row r="533" spans="1:15">
      <c r="A533" s="2">
        <v>532</v>
      </c>
      <c r="B533" s="4">
        <f>YEAR(F533)</f>
        <v>2023</v>
      </c>
      <c r="C533" s="4">
        <f>MONTH(F533)</f>
        <v>6</v>
      </c>
      <c r="D533" s="4">
        <f>DAY(F533)</f>
        <v>19</v>
      </c>
      <c r="E533" s="4" t="str">
        <f t="shared" si="8"/>
        <v>Monday</v>
      </c>
      <c r="F533" s="3">
        <v>45096</v>
      </c>
      <c r="G533" s="4" t="s">
        <v>564</v>
      </c>
      <c r="H533" s="4" t="s">
        <v>7</v>
      </c>
      <c r="I533" s="4">
        <v>64</v>
      </c>
      <c r="J533" s="4" t="str" cm="1">
        <f t="array" ref="J533">_xlfn.IFS(I533&lt;30,"Young Adult", I533&lt;50,"Adult",I533 &gt;=50,"Seniors")</f>
        <v>Seniors</v>
      </c>
      <c r="K533" s="4" t="s">
        <v>3</v>
      </c>
      <c r="L533" s="4">
        <v>4</v>
      </c>
      <c r="M533" s="5">
        <v>30</v>
      </c>
      <c r="N533">
        <f>L533*M533</f>
        <v>120</v>
      </c>
      <c r="O533" s="15">
        <f>N533*$R$3</f>
        <v>1.7999999999999998</v>
      </c>
    </row>
    <row r="534" spans="1:15">
      <c r="A534" s="2">
        <v>533</v>
      </c>
      <c r="B534" s="4">
        <f>YEAR(F534)</f>
        <v>2023</v>
      </c>
      <c r="C534" s="4">
        <f>MONTH(F534)</f>
        <v>11</v>
      </c>
      <c r="D534" s="4">
        <f>DAY(F534)</f>
        <v>16</v>
      </c>
      <c r="E534" s="4" t="str">
        <f t="shared" si="8"/>
        <v>Thursday</v>
      </c>
      <c r="F534" s="3">
        <v>45246</v>
      </c>
      <c r="G534" s="4" t="s">
        <v>565</v>
      </c>
      <c r="H534" s="4" t="s">
        <v>8</v>
      </c>
      <c r="I534" s="4">
        <v>19</v>
      </c>
      <c r="J534" s="4" t="str" cm="1">
        <f t="array" ref="J534">_xlfn.IFS(I534&lt;30,"Young Adult", I534&lt;50,"Adult",I534 &gt;=50,"Seniors")</f>
        <v>Young Adult</v>
      </c>
      <c r="K534" s="4" t="s">
        <v>4</v>
      </c>
      <c r="L534" s="4">
        <v>3</v>
      </c>
      <c r="M534" s="5">
        <v>500</v>
      </c>
      <c r="N534">
        <f>L534*M534</f>
        <v>1500</v>
      </c>
      <c r="O534" s="15">
        <f>N534*$R$3</f>
        <v>22.5</v>
      </c>
    </row>
    <row r="535" spans="1:15">
      <c r="A535" s="2">
        <v>534</v>
      </c>
      <c r="B535" s="4">
        <f>YEAR(F535)</f>
        <v>2023</v>
      </c>
      <c r="C535" s="4">
        <f>MONTH(F535)</f>
        <v>6</v>
      </c>
      <c r="D535" s="4">
        <f>DAY(F535)</f>
        <v>10</v>
      </c>
      <c r="E535" s="4" t="str">
        <f t="shared" si="8"/>
        <v>Saturday</v>
      </c>
      <c r="F535" s="3">
        <v>45087</v>
      </c>
      <c r="G535" s="4" t="s">
        <v>566</v>
      </c>
      <c r="H535" s="4" t="s">
        <v>8</v>
      </c>
      <c r="I535" s="4">
        <v>45</v>
      </c>
      <c r="J535" s="4" t="str" cm="1">
        <f t="array" ref="J535">_xlfn.IFS(I535&lt;30,"Young Adult", I535&lt;50,"Adult",I535 &gt;=50,"Seniors")</f>
        <v>Adult</v>
      </c>
      <c r="K535" s="4" t="s">
        <v>3</v>
      </c>
      <c r="L535" s="4">
        <v>2</v>
      </c>
      <c r="M535" s="5">
        <v>500</v>
      </c>
      <c r="N535">
        <f>L535*M535</f>
        <v>1000</v>
      </c>
      <c r="O535" s="15">
        <f>N535*$R$3</f>
        <v>15</v>
      </c>
    </row>
    <row r="536" spans="1:15">
      <c r="A536" s="2">
        <v>535</v>
      </c>
      <c r="B536" s="4">
        <f>YEAR(F536)</f>
        <v>2023</v>
      </c>
      <c r="C536" s="4">
        <f>MONTH(F536)</f>
        <v>12</v>
      </c>
      <c r="D536" s="4">
        <f>DAY(F536)</f>
        <v>6</v>
      </c>
      <c r="E536" s="4" t="str">
        <f t="shared" si="8"/>
        <v>Wednesday</v>
      </c>
      <c r="F536" s="3">
        <v>45266</v>
      </c>
      <c r="G536" s="4" t="s">
        <v>567</v>
      </c>
      <c r="H536" s="4" t="s">
        <v>8</v>
      </c>
      <c r="I536" s="4">
        <v>47</v>
      </c>
      <c r="J536" s="4" t="str" cm="1">
        <f t="array" ref="J536">_xlfn.IFS(I536&lt;30,"Young Adult", I536&lt;50,"Adult",I536 &gt;=50,"Seniors")</f>
        <v>Adult</v>
      </c>
      <c r="K536" s="4" t="s">
        <v>2</v>
      </c>
      <c r="L536" s="4">
        <v>3</v>
      </c>
      <c r="M536" s="5">
        <v>30</v>
      </c>
      <c r="N536">
        <f>L536*M536</f>
        <v>90</v>
      </c>
      <c r="O536" s="15">
        <f>N536*$R$3</f>
        <v>1.3499999999999999</v>
      </c>
    </row>
    <row r="537" spans="1:15">
      <c r="A537" s="2">
        <v>536</v>
      </c>
      <c r="B537" s="4">
        <f>YEAR(F537)</f>
        <v>2023</v>
      </c>
      <c r="C537" s="4">
        <f>MONTH(F537)</f>
        <v>3</v>
      </c>
      <c r="D537" s="4">
        <f>DAY(F537)</f>
        <v>5</v>
      </c>
      <c r="E537" s="4" t="str">
        <f t="shared" si="8"/>
        <v>Sunday</v>
      </c>
      <c r="F537" s="3">
        <v>44990</v>
      </c>
      <c r="G537" s="4" t="s">
        <v>568</v>
      </c>
      <c r="H537" s="4" t="s">
        <v>7</v>
      </c>
      <c r="I537" s="4">
        <v>55</v>
      </c>
      <c r="J537" s="4" t="str" cm="1">
        <f t="array" ref="J537">_xlfn.IFS(I537&lt;30,"Young Adult", I537&lt;50,"Adult",I537 &gt;=50,"Seniors")</f>
        <v>Seniors</v>
      </c>
      <c r="K537" s="4" t="s">
        <v>2</v>
      </c>
      <c r="L537" s="4">
        <v>4</v>
      </c>
      <c r="M537" s="5">
        <v>30</v>
      </c>
      <c r="N537">
        <f>L537*M537</f>
        <v>120</v>
      </c>
      <c r="O537" s="15">
        <f>N537*$R$3</f>
        <v>1.7999999999999998</v>
      </c>
    </row>
    <row r="538" spans="1:15">
      <c r="A538" s="2">
        <v>537</v>
      </c>
      <c r="B538" s="4">
        <f>YEAR(F538)</f>
        <v>2023</v>
      </c>
      <c r="C538" s="4">
        <f>MONTH(F538)</f>
        <v>6</v>
      </c>
      <c r="D538" s="4">
        <f>DAY(F538)</f>
        <v>3</v>
      </c>
      <c r="E538" s="4" t="str">
        <f t="shared" si="8"/>
        <v>Saturday</v>
      </c>
      <c r="F538" s="3">
        <v>45080</v>
      </c>
      <c r="G538" s="4" t="s">
        <v>569</v>
      </c>
      <c r="H538" s="4" t="s">
        <v>7</v>
      </c>
      <c r="I538" s="4">
        <v>21</v>
      </c>
      <c r="J538" s="4" t="str" cm="1">
        <f t="array" ref="J538">_xlfn.IFS(I538&lt;30,"Young Adult", I538&lt;50,"Adult",I538 &gt;=50,"Seniors")</f>
        <v>Young Adult</v>
      </c>
      <c r="K538" s="4" t="s">
        <v>2</v>
      </c>
      <c r="L538" s="4">
        <v>1</v>
      </c>
      <c r="M538" s="5">
        <v>500</v>
      </c>
      <c r="N538">
        <f>L538*M538</f>
        <v>500</v>
      </c>
      <c r="O538" s="15">
        <f>N538*$R$3</f>
        <v>7.5</v>
      </c>
    </row>
    <row r="539" spans="1:15">
      <c r="A539" s="2">
        <v>538</v>
      </c>
      <c r="B539" s="4">
        <f>YEAR(F539)</f>
        <v>2023</v>
      </c>
      <c r="C539" s="4">
        <f>MONTH(F539)</f>
        <v>9</v>
      </c>
      <c r="D539" s="4">
        <f>DAY(F539)</f>
        <v>17</v>
      </c>
      <c r="E539" s="4" t="str">
        <f t="shared" si="8"/>
        <v>Sunday</v>
      </c>
      <c r="F539" s="3">
        <v>45186</v>
      </c>
      <c r="G539" s="4" t="s">
        <v>570</v>
      </c>
      <c r="H539" s="4" t="s">
        <v>8</v>
      </c>
      <c r="I539" s="4">
        <v>18</v>
      </c>
      <c r="J539" s="4" t="str" cm="1">
        <f t="array" ref="J539">_xlfn.IFS(I539&lt;30,"Young Adult", I539&lt;50,"Adult",I539 &gt;=50,"Seniors")</f>
        <v>Young Adult</v>
      </c>
      <c r="K539" s="4" t="s">
        <v>3</v>
      </c>
      <c r="L539" s="4">
        <v>3</v>
      </c>
      <c r="M539" s="5">
        <v>50</v>
      </c>
      <c r="N539">
        <f>L539*M539</f>
        <v>150</v>
      </c>
      <c r="O539" s="15">
        <f>N539*$R$3</f>
        <v>2.25</v>
      </c>
    </row>
    <row r="540" spans="1:15">
      <c r="A540" s="2">
        <v>539</v>
      </c>
      <c r="B540" s="4">
        <f>YEAR(F540)</f>
        <v>2023</v>
      </c>
      <c r="C540" s="4">
        <f>MONTH(F540)</f>
        <v>6</v>
      </c>
      <c r="D540" s="4">
        <f>DAY(F540)</f>
        <v>8</v>
      </c>
      <c r="E540" s="4" t="str">
        <f t="shared" si="8"/>
        <v>Thursday</v>
      </c>
      <c r="F540" s="3">
        <v>45085</v>
      </c>
      <c r="G540" s="4" t="s">
        <v>571</v>
      </c>
      <c r="H540" s="4" t="s">
        <v>8</v>
      </c>
      <c r="I540" s="4">
        <v>25</v>
      </c>
      <c r="J540" s="4" t="str" cm="1">
        <f t="array" ref="J540">_xlfn.IFS(I540&lt;30,"Young Adult", I540&lt;50,"Adult",I540 &gt;=50,"Seniors")</f>
        <v>Young Adult</v>
      </c>
      <c r="K540" s="4" t="s">
        <v>2</v>
      </c>
      <c r="L540" s="4">
        <v>1</v>
      </c>
      <c r="M540" s="5">
        <v>500</v>
      </c>
      <c r="N540">
        <f>L540*M540</f>
        <v>500</v>
      </c>
      <c r="O540" s="15">
        <f>N540*$R$3</f>
        <v>7.5</v>
      </c>
    </row>
    <row r="541" spans="1:15">
      <c r="A541" s="2">
        <v>540</v>
      </c>
      <c r="B541" s="4">
        <f>YEAR(F541)</f>
        <v>2023</v>
      </c>
      <c r="C541" s="4">
        <f>MONTH(F541)</f>
        <v>12</v>
      </c>
      <c r="D541" s="4">
        <f>DAY(F541)</f>
        <v>8</v>
      </c>
      <c r="E541" s="4" t="str">
        <f t="shared" si="8"/>
        <v>Friday</v>
      </c>
      <c r="F541" s="3">
        <v>45268</v>
      </c>
      <c r="G541" s="4" t="s">
        <v>572</v>
      </c>
      <c r="H541" s="4" t="s">
        <v>7</v>
      </c>
      <c r="I541" s="4">
        <v>46</v>
      </c>
      <c r="J541" s="4" t="str" cm="1">
        <f t="array" ref="J541">_xlfn.IFS(I541&lt;30,"Young Adult", I541&lt;50,"Adult",I541 &gt;=50,"Seniors")</f>
        <v>Adult</v>
      </c>
      <c r="K541" s="4" t="s">
        <v>4</v>
      </c>
      <c r="L541" s="4">
        <v>3</v>
      </c>
      <c r="M541" s="5">
        <v>300</v>
      </c>
      <c r="N541">
        <f>L541*M541</f>
        <v>900</v>
      </c>
      <c r="O541" s="15">
        <f>N541*$R$3</f>
        <v>13.5</v>
      </c>
    </row>
    <row r="542" spans="1:15">
      <c r="A542" s="2">
        <v>541</v>
      </c>
      <c r="B542" s="4">
        <f>YEAR(F542)</f>
        <v>2023</v>
      </c>
      <c r="C542" s="4">
        <f>MONTH(F542)</f>
        <v>7</v>
      </c>
      <c r="D542" s="4">
        <f>DAY(F542)</f>
        <v>29</v>
      </c>
      <c r="E542" s="4" t="str">
        <f t="shared" si="8"/>
        <v>Saturday</v>
      </c>
      <c r="F542" s="3">
        <v>45136</v>
      </c>
      <c r="G542" s="4" t="s">
        <v>573</v>
      </c>
      <c r="H542" s="4" t="s">
        <v>8</v>
      </c>
      <c r="I542" s="4">
        <v>56</v>
      </c>
      <c r="J542" s="4" t="str" cm="1">
        <f t="array" ref="J542">_xlfn.IFS(I542&lt;30,"Young Adult", I542&lt;50,"Adult",I542 &gt;=50,"Seniors")</f>
        <v>Seniors</v>
      </c>
      <c r="K542" s="4" t="s">
        <v>2</v>
      </c>
      <c r="L542" s="4">
        <v>1</v>
      </c>
      <c r="M542" s="5">
        <v>500</v>
      </c>
      <c r="N542">
        <f>L542*M542</f>
        <v>500</v>
      </c>
      <c r="O542" s="15">
        <f>N542*$R$3</f>
        <v>7.5</v>
      </c>
    </row>
    <row r="543" spans="1:15">
      <c r="A543" s="2">
        <v>542</v>
      </c>
      <c r="B543" s="4">
        <f>YEAR(F543)</f>
        <v>2023</v>
      </c>
      <c r="C543" s="4">
        <f>MONTH(F543)</f>
        <v>6</v>
      </c>
      <c r="D543" s="4">
        <f>DAY(F543)</f>
        <v>17</v>
      </c>
      <c r="E543" s="4" t="str">
        <f t="shared" si="8"/>
        <v>Saturday</v>
      </c>
      <c r="F543" s="3">
        <v>45094</v>
      </c>
      <c r="G543" s="4" t="s">
        <v>574</v>
      </c>
      <c r="H543" s="4" t="s">
        <v>7</v>
      </c>
      <c r="I543" s="4">
        <v>20</v>
      </c>
      <c r="J543" s="4" t="str" cm="1">
        <f t="array" ref="J543">_xlfn.IFS(I543&lt;30,"Young Adult", I543&lt;50,"Adult",I543 &gt;=50,"Seniors")</f>
        <v>Young Adult</v>
      </c>
      <c r="K543" s="4" t="s">
        <v>2</v>
      </c>
      <c r="L543" s="4">
        <v>1</v>
      </c>
      <c r="M543" s="5">
        <v>50</v>
      </c>
      <c r="N543">
        <f>L543*M543</f>
        <v>50</v>
      </c>
      <c r="O543" s="15">
        <f>N543*$R$3</f>
        <v>0.75</v>
      </c>
    </row>
    <row r="544" spans="1:15">
      <c r="A544" s="2">
        <v>543</v>
      </c>
      <c r="B544" s="4">
        <f>YEAR(F544)</f>
        <v>2023</v>
      </c>
      <c r="C544" s="4">
        <f>MONTH(F544)</f>
        <v>7</v>
      </c>
      <c r="D544" s="4">
        <f>DAY(F544)</f>
        <v>26</v>
      </c>
      <c r="E544" s="4" t="str">
        <f t="shared" si="8"/>
        <v>Wednesday</v>
      </c>
      <c r="F544" s="3">
        <v>45133</v>
      </c>
      <c r="G544" s="4" t="s">
        <v>575</v>
      </c>
      <c r="H544" s="4" t="s">
        <v>8</v>
      </c>
      <c r="I544" s="4">
        <v>49</v>
      </c>
      <c r="J544" s="4" t="str" cm="1">
        <f t="array" ref="J544">_xlfn.IFS(I544&lt;30,"Young Adult", I544&lt;50,"Adult",I544 &gt;=50,"Seniors")</f>
        <v>Adult</v>
      </c>
      <c r="K544" s="4" t="s">
        <v>2</v>
      </c>
      <c r="L544" s="4">
        <v>2</v>
      </c>
      <c r="M544" s="5">
        <v>300</v>
      </c>
      <c r="N544">
        <f>L544*M544</f>
        <v>600</v>
      </c>
      <c r="O544" s="15">
        <f>N544*$R$3</f>
        <v>9</v>
      </c>
    </row>
    <row r="545" spans="1:15">
      <c r="A545" s="2">
        <v>544</v>
      </c>
      <c r="B545" s="4">
        <f>YEAR(F545)</f>
        <v>2023</v>
      </c>
      <c r="C545" s="4">
        <f>MONTH(F545)</f>
        <v>12</v>
      </c>
      <c r="D545" s="4">
        <f>DAY(F545)</f>
        <v>23</v>
      </c>
      <c r="E545" s="4" t="str">
        <f t="shared" si="8"/>
        <v>Saturday</v>
      </c>
      <c r="F545" s="3">
        <v>45283</v>
      </c>
      <c r="G545" s="4" t="s">
        <v>576</v>
      </c>
      <c r="H545" s="4" t="s">
        <v>7</v>
      </c>
      <c r="I545" s="4">
        <v>27</v>
      </c>
      <c r="J545" s="4" t="str" cm="1">
        <f t="array" ref="J545">_xlfn.IFS(I545&lt;30,"Young Adult", I545&lt;50,"Adult",I545 &gt;=50,"Seniors")</f>
        <v>Young Adult</v>
      </c>
      <c r="K545" s="4" t="s">
        <v>4</v>
      </c>
      <c r="L545" s="4">
        <v>1</v>
      </c>
      <c r="M545" s="5">
        <v>25</v>
      </c>
      <c r="N545">
        <f>L545*M545</f>
        <v>25</v>
      </c>
      <c r="O545" s="15">
        <f>N545*$R$3</f>
        <v>0.375</v>
      </c>
    </row>
    <row r="546" spans="1:15">
      <c r="A546" s="2">
        <v>545</v>
      </c>
      <c r="B546" s="4">
        <f>YEAR(F546)</f>
        <v>2023</v>
      </c>
      <c r="C546" s="4">
        <f>MONTH(F546)</f>
        <v>6</v>
      </c>
      <c r="D546" s="4">
        <f>DAY(F546)</f>
        <v>1</v>
      </c>
      <c r="E546" s="4" t="str">
        <f t="shared" si="8"/>
        <v>Thursday</v>
      </c>
      <c r="F546" s="3">
        <v>45078</v>
      </c>
      <c r="G546" s="4" t="s">
        <v>577</v>
      </c>
      <c r="H546" s="4" t="s">
        <v>8</v>
      </c>
      <c r="I546" s="4">
        <v>27</v>
      </c>
      <c r="J546" s="4" t="str" cm="1">
        <f t="array" ref="J546">_xlfn.IFS(I546&lt;30,"Young Adult", I546&lt;50,"Adult",I546 &gt;=50,"Seniors")</f>
        <v>Young Adult</v>
      </c>
      <c r="K546" s="4" t="s">
        <v>3</v>
      </c>
      <c r="L546" s="4">
        <v>2</v>
      </c>
      <c r="M546" s="5">
        <v>25</v>
      </c>
      <c r="N546">
        <f>L546*M546</f>
        <v>50</v>
      </c>
      <c r="O546" s="15">
        <f>N546*$R$3</f>
        <v>0.75</v>
      </c>
    </row>
    <row r="547" spans="1:15">
      <c r="A547" s="2">
        <v>546</v>
      </c>
      <c r="B547" s="4">
        <f>YEAR(F547)</f>
        <v>2023</v>
      </c>
      <c r="C547" s="4">
        <f>MONTH(F547)</f>
        <v>10</v>
      </c>
      <c r="D547" s="4">
        <f>DAY(F547)</f>
        <v>11</v>
      </c>
      <c r="E547" s="4" t="str">
        <f t="shared" si="8"/>
        <v>Wednesday</v>
      </c>
      <c r="F547" s="3">
        <v>45210</v>
      </c>
      <c r="G547" s="4" t="s">
        <v>578</v>
      </c>
      <c r="H547" s="4" t="s">
        <v>7</v>
      </c>
      <c r="I547" s="4">
        <v>36</v>
      </c>
      <c r="J547" s="4" t="str" cm="1">
        <f t="array" ref="J547">_xlfn.IFS(I547&lt;30,"Young Adult", I547&lt;50,"Adult",I547 &gt;=50,"Seniors")</f>
        <v>Adult</v>
      </c>
      <c r="K547" s="4" t="s">
        <v>4</v>
      </c>
      <c r="L547" s="4">
        <v>4</v>
      </c>
      <c r="M547" s="5">
        <v>50</v>
      </c>
      <c r="N547">
        <f>L547*M547</f>
        <v>200</v>
      </c>
      <c r="O547" s="15">
        <f>N547*$R$3</f>
        <v>3</v>
      </c>
    </row>
    <row r="548" spans="1:15">
      <c r="A548" s="2">
        <v>547</v>
      </c>
      <c r="B548" s="4">
        <f>YEAR(F548)</f>
        <v>2023</v>
      </c>
      <c r="C548" s="4">
        <f>MONTH(F548)</f>
        <v>3</v>
      </c>
      <c r="D548" s="4">
        <f>DAY(F548)</f>
        <v>7</v>
      </c>
      <c r="E548" s="4" t="str">
        <f t="shared" si="8"/>
        <v>Tuesday</v>
      </c>
      <c r="F548" s="3">
        <v>44992</v>
      </c>
      <c r="G548" s="4" t="s">
        <v>579</v>
      </c>
      <c r="H548" s="4" t="s">
        <v>8</v>
      </c>
      <c r="I548" s="4">
        <v>63</v>
      </c>
      <c r="J548" s="4" t="str" cm="1">
        <f t="array" ref="J548">_xlfn.IFS(I548&lt;30,"Young Adult", I548&lt;50,"Adult",I548 &gt;=50,"Seniors")</f>
        <v>Seniors</v>
      </c>
      <c r="K548" s="4" t="s">
        <v>3</v>
      </c>
      <c r="L548" s="4">
        <v>4</v>
      </c>
      <c r="M548" s="5">
        <v>500</v>
      </c>
      <c r="N548">
        <f>L548*M548</f>
        <v>2000</v>
      </c>
      <c r="O548" s="15">
        <f>N548*$R$3</f>
        <v>30</v>
      </c>
    </row>
    <row r="549" spans="1:15">
      <c r="A549" s="2">
        <v>548</v>
      </c>
      <c r="B549" s="4">
        <f>YEAR(F549)</f>
        <v>2023</v>
      </c>
      <c r="C549" s="4">
        <f>MONTH(F549)</f>
        <v>4</v>
      </c>
      <c r="D549" s="4">
        <f>DAY(F549)</f>
        <v>9</v>
      </c>
      <c r="E549" s="4" t="str">
        <f t="shared" si="8"/>
        <v>Sunday</v>
      </c>
      <c r="F549" s="3">
        <v>45025</v>
      </c>
      <c r="G549" s="4" t="s">
        <v>580</v>
      </c>
      <c r="H549" s="4" t="s">
        <v>7</v>
      </c>
      <c r="I549" s="4">
        <v>51</v>
      </c>
      <c r="J549" s="4" t="str" cm="1">
        <f t="array" ref="J549">_xlfn.IFS(I549&lt;30,"Young Adult", I549&lt;50,"Adult",I549 &gt;=50,"Seniors")</f>
        <v>Seniors</v>
      </c>
      <c r="K549" s="4" t="s">
        <v>3</v>
      </c>
      <c r="L549" s="4">
        <v>2</v>
      </c>
      <c r="M549" s="5">
        <v>30</v>
      </c>
      <c r="N549">
        <f>L549*M549</f>
        <v>60</v>
      </c>
      <c r="O549" s="15">
        <f>N549*$R$3</f>
        <v>0.89999999999999991</v>
      </c>
    </row>
    <row r="550" spans="1:15">
      <c r="A550" s="2">
        <v>549</v>
      </c>
      <c r="B550" s="4">
        <f>YEAR(F550)</f>
        <v>2023</v>
      </c>
      <c r="C550" s="4">
        <f>MONTH(F550)</f>
        <v>8</v>
      </c>
      <c r="D550" s="4">
        <f>DAY(F550)</f>
        <v>4</v>
      </c>
      <c r="E550" s="4" t="str">
        <f t="shared" si="8"/>
        <v>Friday</v>
      </c>
      <c r="F550" s="3">
        <v>45142</v>
      </c>
      <c r="G550" s="4" t="s">
        <v>581</v>
      </c>
      <c r="H550" s="4" t="s">
        <v>7</v>
      </c>
      <c r="I550" s="4">
        <v>50</v>
      </c>
      <c r="J550" s="4" t="str" cm="1">
        <f t="array" ref="J550">_xlfn.IFS(I550&lt;30,"Young Adult", I550&lt;50,"Adult",I550 &gt;=50,"Seniors")</f>
        <v>Seniors</v>
      </c>
      <c r="K550" s="4" t="s">
        <v>2</v>
      </c>
      <c r="L550" s="4">
        <v>2</v>
      </c>
      <c r="M550" s="5">
        <v>50</v>
      </c>
      <c r="N550">
        <f>L550*M550</f>
        <v>100</v>
      </c>
      <c r="O550" s="15">
        <f>N550*$R$3</f>
        <v>1.5</v>
      </c>
    </row>
    <row r="551" spans="1:15">
      <c r="A551" s="2">
        <v>550</v>
      </c>
      <c r="B551" s="4">
        <f>YEAR(F551)</f>
        <v>2023</v>
      </c>
      <c r="C551" s="4">
        <f>MONTH(F551)</f>
        <v>12</v>
      </c>
      <c r="D551" s="4">
        <f>DAY(F551)</f>
        <v>7</v>
      </c>
      <c r="E551" s="4" t="str">
        <f t="shared" si="8"/>
        <v>Thursday</v>
      </c>
      <c r="F551" s="3">
        <v>45267</v>
      </c>
      <c r="G551" s="4" t="s">
        <v>582</v>
      </c>
      <c r="H551" s="4" t="s">
        <v>8</v>
      </c>
      <c r="I551" s="4">
        <v>40</v>
      </c>
      <c r="J551" s="4" t="str" cm="1">
        <f t="array" ref="J551">_xlfn.IFS(I551&lt;30,"Young Adult", I551&lt;50,"Adult",I551 &gt;=50,"Seniors")</f>
        <v>Adult</v>
      </c>
      <c r="K551" s="4" t="s">
        <v>3</v>
      </c>
      <c r="L551" s="4">
        <v>3</v>
      </c>
      <c r="M551" s="5">
        <v>300</v>
      </c>
      <c r="N551">
        <f>L551*M551</f>
        <v>900</v>
      </c>
      <c r="O551" s="15">
        <f>N551*$R$3</f>
        <v>13.5</v>
      </c>
    </row>
    <row r="552" spans="1:15">
      <c r="A552" s="2">
        <v>551</v>
      </c>
      <c r="B552" s="4">
        <f>YEAR(F552)</f>
        <v>2023</v>
      </c>
      <c r="C552" s="4">
        <f>MONTH(F552)</f>
        <v>7</v>
      </c>
      <c r="D552" s="4">
        <f>DAY(F552)</f>
        <v>14</v>
      </c>
      <c r="E552" s="4" t="str">
        <f t="shared" si="8"/>
        <v>Friday</v>
      </c>
      <c r="F552" s="3">
        <v>45121</v>
      </c>
      <c r="G552" s="4" t="s">
        <v>583</v>
      </c>
      <c r="H552" s="4" t="s">
        <v>8</v>
      </c>
      <c r="I552" s="4">
        <v>45</v>
      </c>
      <c r="J552" s="4" t="str" cm="1">
        <f t="array" ref="J552">_xlfn.IFS(I552&lt;30,"Young Adult", I552&lt;50,"Adult",I552 &gt;=50,"Seniors")</f>
        <v>Adult</v>
      </c>
      <c r="K552" s="4" t="s">
        <v>4</v>
      </c>
      <c r="L552" s="4">
        <v>3</v>
      </c>
      <c r="M552" s="5">
        <v>300</v>
      </c>
      <c r="N552">
        <f>L552*M552</f>
        <v>900</v>
      </c>
      <c r="O552" s="15">
        <f>N552*$R$3</f>
        <v>13.5</v>
      </c>
    </row>
    <row r="553" spans="1:15">
      <c r="A553" s="2">
        <v>552</v>
      </c>
      <c r="B553" s="4">
        <f>YEAR(F553)</f>
        <v>2023</v>
      </c>
      <c r="C553" s="4">
        <f>MONTH(F553)</f>
        <v>12</v>
      </c>
      <c r="D553" s="4">
        <f>DAY(F553)</f>
        <v>13</v>
      </c>
      <c r="E553" s="4" t="str">
        <f t="shared" si="8"/>
        <v>Wednesday</v>
      </c>
      <c r="F553" s="3">
        <v>45273</v>
      </c>
      <c r="G553" s="4" t="s">
        <v>584</v>
      </c>
      <c r="H553" s="4" t="s">
        <v>7</v>
      </c>
      <c r="I553" s="4">
        <v>49</v>
      </c>
      <c r="J553" s="4" t="str" cm="1">
        <f t="array" ref="J553">_xlfn.IFS(I553&lt;30,"Young Adult", I553&lt;50,"Adult",I553 &gt;=50,"Seniors")</f>
        <v>Adult</v>
      </c>
      <c r="K553" s="4" t="s">
        <v>4</v>
      </c>
      <c r="L553" s="4">
        <v>3</v>
      </c>
      <c r="M553" s="5">
        <v>25</v>
      </c>
      <c r="N553">
        <f>L553*M553</f>
        <v>75</v>
      </c>
      <c r="O553" s="15">
        <f>N553*$R$3</f>
        <v>1.125</v>
      </c>
    </row>
    <row r="554" spans="1:15">
      <c r="A554" s="2">
        <v>553</v>
      </c>
      <c r="B554" s="4">
        <f>YEAR(F554)</f>
        <v>2023</v>
      </c>
      <c r="C554" s="4">
        <f>MONTH(F554)</f>
        <v>3</v>
      </c>
      <c r="D554" s="4">
        <f>DAY(F554)</f>
        <v>31</v>
      </c>
      <c r="E554" s="4" t="str">
        <f t="shared" si="8"/>
        <v>Friday</v>
      </c>
      <c r="F554" s="3">
        <v>45016</v>
      </c>
      <c r="G554" s="4" t="s">
        <v>585</v>
      </c>
      <c r="H554" s="4" t="s">
        <v>8</v>
      </c>
      <c r="I554" s="4">
        <v>24</v>
      </c>
      <c r="J554" s="4" t="str" cm="1">
        <f t="array" ref="J554">_xlfn.IFS(I554&lt;30,"Young Adult", I554&lt;50,"Adult",I554 &gt;=50,"Seniors")</f>
        <v>Young Adult</v>
      </c>
      <c r="K554" s="4" t="s">
        <v>3</v>
      </c>
      <c r="L554" s="4">
        <v>4</v>
      </c>
      <c r="M554" s="5">
        <v>300</v>
      </c>
      <c r="N554">
        <f>L554*M554</f>
        <v>1200</v>
      </c>
      <c r="O554" s="15">
        <f>N554*$R$3</f>
        <v>18</v>
      </c>
    </row>
    <row r="555" spans="1:15">
      <c r="A555" s="2">
        <v>554</v>
      </c>
      <c r="B555" s="4">
        <f>YEAR(F555)</f>
        <v>2023</v>
      </c>
      <c r="C555" s="4">
        <f>MONTH(F555)</f>
        <v>11</v>
      </c>
      <c r="D555" s="4">
        <f>DAY(F555)</f>
        <v>12</v>
      </c>
      <c r="E555" s="4" t="str">
        <f t="shared" si="8"/>
        <v>Sunday</v>
      </c>
      <c r="F555" s="3">
        <v>45242</v>
      </c>
      <c r="G555" s="4" t="s">
        <v>586</v>
      </c>
      <c r="H555" s="4" t="s">
        <v>7</v>
      </c>
      <c r="I555" s="4">
        <v>46</v>
      </c>
      <c r="J555" s="4" t="str" cm="1">
        <f t="array" ref="J555">_xlfn.IFS(I555&lt;30,"Young Adult", I555&lt;50,"Adult",I555 &gt;=50,"Seniors")</f>
        <v>Adult</v>
      </c>
      <c r="K555" s="4" t="s">
        <v>2</v>
      </c>
      <c r="L555" s="4">
        <v>3</v>
      </c>
      <c r="M555" s="5">
        <v>50</v>
      </c>
      <c r="N555">
        <f>L555*M555</f>
        <v>150</v>
      </c>
      <c r="O555" s="15">
        <f>N555*$R$3</f>
        <v>2.25</v>
      </c>
    </row>
    <row r="556" spans="1:15">
      <c r="A556" s="2">
        <v>555</v>
      </c>
      <c r="B556" s="4">
        <f>YEAR(F556)</f>
        <v>2023</v>
      </c>
      <c r="C556" s="4">
        <f>MONTH(F556)</f>
        <v>10</v>
      </c>
      <c r="D556" s="4">
        <f>DAY(F556)</f>
        <v>19</v>
      </c>
      <c r="E556" s="4" t="str">
        <f t="shared" si="8"/>
        <v>Thursday</v>
      </c>
      <c r="F556" s="3">
        <v>45218</v>
      </c>
      <c r="G556" s="4" t="s">
        <v>587</v>
      </c>
      <c r="H556" s="4" t="s">
        <v>8</v>
      </c>
      <c r="I556" s="4">
        <v>25</v>
      </c>
      <c r="J556" s="4" t="str" cm="1">
        <f t="array" ref="J556">_xlfn.IFS(I556&lt;30,"Young Adult", I556&lt;50,"Adult",I556 &gt;=50,"Seniors")</f>
        <v>Young Adult</v>
      </c>
      <c r="K556" s="4" t="s">
        <v>2</v>
      </c>
      <c r="L556" s="4">
        <v>1</v>
      </c>
      <c r="M556" s="5">
        <v>300</v>
      </c>
      <c r="N556">
        <f>L556*M556</f>
        <v>300</v>
      </c>
      <c r="O556" s="15">
        <f>N556*$R$3</f>
        <v>4.5</v>
      </c>
    </row>
    <row r="557" spans="1:15">
      <c r="A557" s="2">
        <v>556</v>
      </c>
      <c r="B557" s="4">
        <f>YEAR(F557)</f>
        <v>2023</v>
      </c>
      <c r="C557" s="4">
        <f>MONTH(F557)</f>
        <v>6</v>
      </c>
      <c r="D557" s="4">
        <f>DAY(F557)</f>
        <v>4</v>
      </c>
      <c r="E557" s="4" t="str">
        <f t="shared" si="8"/>
        <v>Sunday</v>
      </c>
      <c r="F557" s="3">
        <v>45081</v>
      </c>
      <c r="G557" s="4" t="s">
        <v>588</v>
      </c>
      <c r="H557" s="4" t="s">
        <v>7</v>
      </c>
      <c r="I557" s="4">
        <v>18</v>
      </c>
      <c r="J557" s="4" t="str" cm="1">
        <f t="array" ref="J557">_xlfn.IFS(I557&lt;30,"Young Adult", I557&lt;50,"Adult",I557 &gt;=50,"Seniors")</f>
        <v>Young Adult</v>
      </c>
      <c r="K557" s="4" t="s">
        <v>4</v>
      </c>
      <c r="L557" s="4">
        <v>1</v>
      </c>
      <c r="M557" s="5">
        <v>50</v>
      </c>
      <c r="N557">
        <f>L557*M557</f>
        <v>50</v>
      </c>
      <c r="O557" s="15">
        <f>N557*$R$3</f>
        <v>0.75</v>
      </c>
    </row>
    <row r="558" spans="1:15">
      <c r="A558" s="2">
        <v>557</v>
      </c>
      <c r="B558" s="4">
        <f>YEAR(F558)</f>
        <v>2023</v>
      </c>
      <c r="C558" s="4">
        <f>MONTH(F558)</f>
        <v>7</v>
      </c>
      <c r="D558" s="4">
        <f>DAY(F558)</f>
        <v>27</v>
      </c>
      <c r="E558" s="4" t="str">
        <f t="shared" si="8"/>
        <v>Thursday</v>
      </c>
      <c r="F558" s="3">
        <v>45134</v>
      </c>
      <c r="G558" s="4" t="s">
        <v>589</v>
      </c>
      <c r="H558" s="4" t="s">
        <v>7</v>
      </c>
      <c r="I558" s="4">
        <v>20</v>
      </c>
      <c r="J558" s="4" t="str" cm="1">
        <f t="array" ref="J558">_xlfn.IFS(I558&lt;30,"Young Adult", I558&lt;50,"Adult",I558 &gt;=50,"Seniors")</f>
        <v>Young Adult</v>
      </c>
      <c r="K558" s="4" t="s">
        <v>2</v>
      </c>
      <c r="L558" s="4">
        <v>3</v>
      </c>
      <c r="M558" s="5">
        <v>30</v>
      </c>
      <c r="N558">
        <f>L558*M558</f>
        <v>90</v>
      </c>
      <c r="O558" s="15">
        <f>N558*$R$3</f>
        <v>1.3499999999999999</v>
      </c>
    </row>
    <row r="559" spans="1:15">
      <c r="A559" s="2">
        <v>558</v>
      </c>
      <c r="B559" s="4">
        <f>YEAR(F559)</f>
        <v>2023</v>
      </c>
      <c r="C559" s="4">
        <f>MONTH(F559)</f>
        <v>10</v>
      </c>
      <c r="D559" s="4">
        <f>DAY(F559)</f>
        <v>8</v>
      </c>
      <c r="E559" s="4" t="str">
        <f t="shared" si="8"/>
        <v>Sunday</v>
      </c>
      <c r="F559" s="3">
        <v>45207</v>
      </c>
      <c r="G559" s="4" t="s">
        <v>590</v>
      </c>
      <c r="H559" s="4" t="s">
        <v>7</v>
      </c>
      <c r="I559" s="4">
        <v>41</v>
      </c>
      <c r="J559" s="4" t="str" cm="1">
        <f t="array" ref="J559">_xlfn.IFS(I559&lt;30,"Young Adult", I559&lt;50,"Adult",I559 &gt;=50,"Seniors")</f>
        <v>Adult</v>
      </c>
      <c r="K559" s="4" t="s">
        <v>3</v>
      </c>
      <c r="L559" s="4">
        <v>1</v>
      </c>
      <c r="M559" s="5">
        <v>25</v>
      </c>
      <c r="N559">
        <f>L559*M559</f>
        <v>25</v>
      </c>
      <c r="O559" s="15">
        <f>N559*$R$3</f>
        <v>0.375</v>
      </c>
    </row>
    <row r="560" spans="1:15">
      <c r="A560" s="2">
        <v>559</v>
      </c>
      <c r="B560" s="4">
        <f>YEAR(F560)</f>
        <v>2023</v>
      </c>
      <c r="C560" s="4">
        <f>MONTH(F560)</f>
        <v>1</v>
      </c>
      <c r="D560" s="4">
        <f>DAY(F560)</f>
        <v>1</v>
      </c>
      <c r="E560" s="4" t="str">
        <f t="shared" si="8"/>
        <v>Sunday</v>
      </c>
      <c r="F560" s="3">
        <v>44927</v>
      </c>
      <c r="G560" s="4" t="s">
        <v>591</v>
      </c>
      <c r="H560" s="4" t="s">
        <v>7</v>
      </c>
      <c r="I560" s="4">
        <v>40</v>
      </c>
      <c r="J560" s="4" t="str" cm="1">
        <f t="array" ref="J560">_xlfn.IFS(I560&lt;30,"Young Adult", I560&lt;50,"Adult",I560 &gt;=50,"Seniors")</f>
        <v>Adult</v>
      </c>
      <c r="K560" s="4" t="s">
        <v>3</v>
      </c>
      <c r="L560" s="4">
        <v>4</v>
      </c>
      <c r="M560" s="5">
        <v>300</v>
      </c>
      <c r="N560">
        <f>L560*M560</f>
        <v>1200</v>
      </c>
      <c r="O560" s="15">
        <f>N560*$R$3</f>
        <v>18</v>
      </c>
    </row>
    <row r="561" spans="1:15">
      <c r="A561" s="2">
        <v>560</v>
      </c>
      <c r="B561" s="4">
        <f>YEAR(F561)</f>
        <v>2023</v>
      </c>
      <c r="C561" s="4">
        <f>MONTH(F561)</f>
        <v>6</v>
      </c>
      <c r="D561" s="4">
        <f>DAY(F561)</f>
        <v>5</v>
      </c>
      <c r="E561" s="4" t="str">
        <f t="shared" si="8"/>
        <v>Monday</v>
      </c>
      <c r="F561" s="3">
        <v>45082</v>
      </c>
      <c r="G561" s="4" t="s">
        <v>592</v>
      </c>
      <c r="H561" s="4" t="s">
        <v>7</v>
      </c>
      <c r="I561" s="4">
        <v>25</v>
      </c>
      <c r="J561" s="4" t="str" cm="1">
        <f t="array" ref="J561">_xlfn.IFS(I561&lt;30,"Young Adult", I561&lt;50,"Adult",I561 &gt;=50,"Seniors")</f>
        <v>Young Adult</v>
      </c>
      <c r="K561" s="4" t="s">
        <v>4</v>
      </c>
      <c r="L561" s="4">
        <v>1</v>
      </c>
      <c r="M561" s="5">
        <v>50</v>
      </c>
      <c r="N561">
        <f>L561*M561</f>
        <v>50</v>
      </c>
      <c r="O561" s="15">
        <f>N561*$R$3</f>
        <v>0.75</v>
      </c>
    </row>
    <row r="562" spans="1:15">
      <c r="A562" s="2">
        <v>561</v>
      </c>
      <c r="B562" s="4">
        <f>YEAR(F562)</f>
        <v>2023</v>
      </c>
      <c r="C562" s="4">
        <f>MONTH(F562)</f>
        <v>5</v>
      </c>
      <c r="D562" s="4">
        <f>DAY(F562)</f>
        <v>27</v>
      </c>
      <c r="E562" s="4" t="str">
        <f t="shared" si="8"/>
        <v>Saturday</v>
      </c>
      <c r="F562" s="3">
        <v>45073</v>
      </c>
      <c r="G562" s="4" t="s">
        <v>593</v>
      </c>
      <c r="H562" s="4" t="s">
        <v>7</v>
      </c>
      <c r="I562" s="4">
        <v>64</v>
      </c>
      <c r="J562" s="4" t="str" cm="1">
        <f t="array" ref="J562">_xlfn.IFS(I562&lt;30,"Young Adult", I562&lt;50,"Adult",I562 &gt;=50,"Seniors")</f>
        <v>Seniors</v>
      </c>
      <c r="K562" s="4" t="s">
        <v>3</v>
      </c>
      <c r="L562" s="4">
        <v>4</v>
      </c>
      <c r="M562" s="5">
        <v>500</v>
      </c>
      <c r="N562">
        <f>L562*M562</f>
        <v>2000</v>
      </c>
      <c r="O562" s="15">
        <f>N562*$R$3</f>
        <v>30</v>
      </c>
    </row>
    <row r="563" spans="1:15">
      <c r="A563" s="2">
        <v>562</v>
      </c>
      <c r="B563" s="4">
        <f>YEAR(F563)</f>
        <v>2023</v>
      </c>
      <c r="C563" s="4">
        <f>MONTH(F563)</f>
        <v>4</v>
      </c>
      <c r="D563" s="4">
        <f>DAY(F563)</f>
        <v>18</v>
      </c>
      <c r="E563" s="4" t="str">
        <f t="shared" si="8"/>
        <v>Tuesday</v>
      </c>
      <c r="F563" s="3">
        <v>45034</v>
      </c>
      <c r="G563" s="4" t="s">
        <v>594</v>
      </c>
      <c r="H563" s="4" t="s">
        <v>8</v>
      </c>
      <c r="I563" s="4">
        <v>54</v>
      </c>
      <c r="J563" s="4" t="str" cm="1">
        <f t="array" ref="J563">_xlfn.IFS(I563&lt;30,"Young Adult", I563&lt;50,"Adult",I563 &gt;=50,"Seniors")</f>
        <v>Seniors</v>
      </c>
      <c r="K563" s="4" t="s">
        <v>4</v>
      </c>
      <c r="L563" s="4">
        <v>2</v>
      </c>
      <c r="M563" s="5">
        <v>25</v>
      </c>
      <c r="N563">
        <f>L563*M563</f>
        <v>50</v>
      </c>
      <c r="O563" s="15">
        <f>N563*$R$3</f>
        <v>0.75</v>
      </c>
    </row>
    <row r="564" spans="1:15">
      <c r="A564" s="2">
        <v>563</v>
      </c>
      <c r="B564" s="4">
        <f>YEAR(F564)</f>
        <v>2023</v>
      </c>
      <c r="C564" s="4">
        <f>MONTH(F564)</f>
        <v>8</v>
      </c>
      <c r="D564" s="4">
        <f>DAY(F564)</f>
        <v>9</v>
      </c>
      <c r="E564" s="4" t="str">
        <f t="shared" si="8"/>
        <v>Wednesday</v>
      </c>
      <c r="F564" s="3">
        <v>45147</v>
      </c>
      <c r="G564" s="4" t="s">
        <v>595</v>
      </c>
      <c r="H564" s="4" t="s">
        <v>8</v>
      </c>
      <c r="I564" s="4">
        <v>20</v>
      </c>
      <c r="J564" s="4" t="str" cm="1">
        <f t="array" ref="J564">_xlfn.IFS(I564&lt;30,"Young Adult", I564&lt;50,"Adult",I564 &gt;=50,"Seniors")</f>
        <v>Young Adult</v>
      </c>
      <c r="K564" s="4" t="s">
        <v>3</v>
      </c>
      <c r="L564" s="4">
        <v>2</v>
      </c>
      <c r="M564" s="5">
        <v>30</v>
      </c>
      <c r="N564">
        <f>L564*M564</f>
        <v>60</v>
      </c>
      <c r="O564" s="15">
        <f>N564*$R$3</f>
        <v>0.89999999999999991</v>
      </c>
    </row>
    <row r="565" spans="1:15">
      <c r="A565" s="2">
        <v>564</v>
      </c>
      <c r="B565" s="4">
        <f>YEAR(F565)</f>
        <v>2023</v>
      </c>
      <c r="C565" s="4">
        <f>MONTH(F565)</f>
        <v>10</v>
      </c>
      <c r="D565" s="4">
        <f>DAY(F565)</f>
        <v>24</v>
      </c>
      <c r="E565" s="4" t="str">
        <f t="shared" si="8"/>
        <v>Tuesday</v>
      </c>
      <c r="F565" s="3">
        <v>45223</v>
      </c>
      <c r="G565" s="4" t="s">
        <v>596</v>
      </c>
      <c r="H565" s="4" t="s">
        <v>8</v>
      </c>
      <c r="I565" s="4">
        <v>50</v>
      </c>
      <c r="J565" s="4" t="str" cm="1">
        <f t="array" ref="J565">_xlfn.IFS(I565&lt;30,"Young Adult", I565&lt;50,"Adult",I565 &gt;=50,"Seniors")</f>
        <v>Seniors</v>
      </c>
      <c r="K565" s="4" t="s">
        <v>4</v>
      </c>
      <c r="L565" s="4">
        <v>2</v>
      </c>
      <c r="M565" s="5">
        <v>50</v>
      </c>
      <c r="N565">
        <f>L565*M565</f>
        <v>100</v>
      </c>
      <c r="O565" s="15">
        <f>N565*$R$3</f>
        <v>1.5</v>
      </c>
    </row>
    <row r="566" spans="1:15">
      <c r="A566" s="2">
        <v>565</v>
      </c>
      <c r="B566" s="4">
        <f>YEAR(F566)</f>
        <v>2023</v>
      </c>
      <c r="C566" s="4">
        <f>MONTH(F566)</f>
        <v>11</v>
      </c>
      <c r="D566" s="4">
        <f>DAY(F566)</f>
        <v>7</v>
      </c>
      <c r="E566" s="4" t="str">
        <f t="shared" si="8"/>
        <v>Tuesday</v>
      </c>
      <c r="F566" s="3">
        <v>45237</v>
      </c>
      <c r="G566" s="4" t="s">
        <v>597</v>
      </c>
      <c r="H566" s="4" t="s">
        <v>7</v>
      </c>
      <c r="I566" s="4">
        <v>45</v>
      </c>
      <c r="J566" s="4" t="str" cm="1">
        <f t="array" ref="J566">_xlfn.IFS(I566&lt;30,"Young Adult", I566&lt;50,"Adult",I566 &gt;=50,"Seniors")</f>
        <v>Adult</v>
      </c>
      <c r="K566" s="4" t="s">
        <v>2</v>
      </c>
      <c r="L566" s="4">
        <v>2</v>
      </c>
      <c r="M566" s="5">
        <v>30</v>
      </c>
      <c r="N566">
        <f>L566*M566</f>
        <v>60</v>
      </c>
      <c r="O566" s="15">
        <f>N566*$R$3</f>
        <v>0.89999999999999991</v>
      </c>
    </row>
    <row r="567" spans="1:15">
      <c r="A567" s="2">
        <v>566</v>
      </c>
      <c r="B567" s="4">
        <f>YEAR(F567)</f>
        <v>2023</v>
      </c>
      <c r="C567" s="4">
        <f>MONTH(F567)</f>
        <v>12</v>
      </c>
      <c r="D567" s="4">
        <f>DAY(F567)</f>
        <v>2</v>
      </c>
      <c r="E567" s="4" t="str">
        <f t="shared" si="8"/>
        <v>Saturday</v>
      </c>
      <c r="F567" s="3">
        <v>45262</v>
      </c>
      <c r="G567" s="4" t="s">
        <v>598</v>
      </c>
      <c r="H567" s="4" t="s">
        <v>7</v>
      </c>
      <c r="I567" s="4">
        <v>64</v>
      </c>
      <c r="J567" s="4" t="str" cm="1">
        <f t="array" ref="J567">_xlfn.IFS(I567&lt;30,"Young Adult", I567&lt;50,"Adult",I567 &gt;=50,"Seniors")</f>
        <v>Seniors</v>
      </c>
      <c r="K567" s="4" t="s">
        <v>3</v>
      </c>
      <c r="L567" s="4">
        <v>1</v>
      </c>
      <c r="M567" s="5">
        <v>30</v>
      </c>
      <c r="N567">
        <f>L567*M567</f>
        <v>30</v>
      </c>
      <c r="O567" s="15">
        <f>N567*$R$3</f>
        <v>0.44999999999999996</v>
      </c>
    </row>
    <row r="568" spans="1:15">
      <c r="A568" s="2">
        <v>567</v>
      </c>
      <c r="B568" s="4">
        <f>YEAR(F568)</f>
        <v>2023</v>
      </c>
      <c r="C568" s="4">
        <f>MONTH(F568)</f>
        <v>6</v>
      </c>
      <c r="D568" s="4">
        <f>DAY(F568)</f>
        <v>14</v>
      </c>
      <c r="E568" s="4" t="str">
        <f t="shared" si="8"/>
        <v>Wednesday</v>
      </c>
      <c r="F568" s="3">
        <v>45091</v>
      </c>
      <c r="G568" s="4" t="s">
        <v>599</v>
      </c>
      <c r="H568" s="4" t="s">
        <v>7</v>
      </c>
      <c r="I568" s="4">
        <v>25</v>
      </c>
      <c r="J568" s="4" t="str" cm="1">
        <f t="array" ref="J568">_xlfn.IFS(I568&lt;30,"Young Adult", I568&lt;50,"Adult",I568 &gt;=50,"Seniors")</f>
        <v>Young Adult</v>
      </c>
      <c r="K568" s="4" t="s">
        <v>3</v>
      </c>
      <c r="L568" s="4">
        <v>3</v>
      </c>
      <c r="M568" s="5">
        <v>300</v>
      </c>
      <c r="N568">
        <f>L568*M568</f>
        <v>900</v>
      </c>
      <c r="O568" s="15">
        <f>N568*$R$3</f>
        <v>13.5</v>
      </c>
    </row>
    <row r="569" spans="1:15">
      <c r="A569" s="2">
        <v>568</v>
      </c>
      <c r="B569" s="4">
        <f>YEAR(F569)</f>
        <v>2023</v>
      </c>
      <c r="C569" s="4">
        <f>MONTH(F569)</f>
        <v>8</v>
      </c>
      <c r="D569" s="4">
        <f>DAY(F569)</f>
        <v>27</v>
      </c>
      <c r="E569" s="4" t="str">
        <f t="shared" si="8"/>
        <v>Sunday</v>
      </c>
      <c r="F569" s="3">
        <v>45165</v>
      </c>
      <c r="G569" s="4" t="s">
        <v>600</v>
      </c>
      <c r="H569" s="4" t="s">
        <v>7</v>
      </c>
      <c r="I569" s="4">
        <v>51</v>
      </c>
      <c r="J569" s="4" t="str" cm="1">
        <f t="array" ref="J569">_xlfn.IFS(I569&lt;30,"Young Adult", I569&lt;50,"Adult",I569 &gt;=50,"Seniors")</f>
        <v>Seniors</v>
      </c>
      <c r="K569" s="4" t="s">
        <v>4</v>
      </c>
      <c r="L569" s="4">
        <v>1</v>
      </c>
      <c r="M569" s="5">
        <v>300</v>
      </c>
      <c r="N569">
        <f>L569*M569</f>
        <v>300</v>
      </c>
      <c r="O569" s="15">
        <f>N569*$R$3</f>
        <v>4.5</v>
      </c>
    </row>
    <row r="570" spans="1:15">
      <c r="A570" s="2">
        <v>569</v>
      </c>
      <c r="B570" s="4">
        <f>YEAR(F570)</f>
        <v>2023</v>
      </c>
      <c r="C570" s="4">
        <f>MONTH(F570)</f>
        <v>8</v>
      </c>
      <c r="D570" s="4">
        <f>DAY(F570)</f>
        <v>15</v>
      </c>
      <c r="E570" s="4" t="str">
        <f t="shared" si="8"/>
        <v>Tuesday</v>
      </c>
      <c r="F570" s="3">
        <v>45153</v>
      </c>
      <c r="G570" s="4" t="s">
        <v>601</v>
      </c>
      <c r="H570" s="4" t="s">
        <v>8</v>
      </c>
      <c r="I570" s="4">
        <v>52</v>
      </c>
      <c r="J570" s="4" t="str" cm="1">
        <f t="array" ref="J570">_xlfn.IFS(I570&lt;30,"Young Adult", I570&lt;50,"Adult",I570 &gt;=50,"Seniors")</f>
        <v>Seniors</v>
      </c>
      <c r="K570" s="4" t="s">
        <v>4</v>
      </c>
      <c r="L570" s="4">
        <v>4</v>
      </c>
      <c r="M570" s="5">
        <v>50</v>
      </c>
      <c r="N570">
        <f>L570*M570</f>
        <v>200</v>
      </c>
      <c r="O570" s="15">
        <f>N570*$R$3</f>
        <v>3</v>
      </c>
    </row>
    <row r="571" spans="1:15">
      <c r="A571" s="2">
        <v>570</v>
      </c>
      <c r="B571" s="4">
        <f>YEAR(F571)</f>
        <v>2023</v>
      </c>
      <c r="C571" s="4">
        <f>MONTH(F571)</f>
        <v>8</v>
      </c>
      <c r="D571" s="4">
        <f>DAY(F571)</f>
        <v>15</v>
      </c>
      <c r="E571" s="4" t="str">
        <f t="shared" si="8"/>
        <v>Tuesday</v>
      </c>
      <c r="F571" s="3">
        <v>45153</v>
      </c>
      <c r="G571" s="4" t="s">
        <v>602</v>
      </c>
      <c r="H571" s="4" t="s">
        <v>8</v>
      </c>
      <c r="I571" s="4">
        <v>49</v>
      </c>
      <c r="J571" s="4" t="str" cm="1">
        <f t="array" ref="J571">_xlfn.IFS(I571&lt;30,"Young Adult", I571&lt;50,"Adult",I571 &gt;=50,"Seniors")</f>
        <v>Adult</v>
      </c>
      <c r="K571" s="4" t="s">
        <v>3</v>
      </c>
      <c r="L571" s="4">
        <v>1</v>
      </c>
      <c r="M571" s="5">
        <v>500</v>
      </c>
      <c r="N571">
        <f>L571*M571</f>
        <v>500</v>
      </c>
      <c r="O571" s="15">
        <f>N571*$R$3</f>
        <v>7.5</v>
      </c>
    </row>
    <row r="572" spans="1:15">
      <c r="A572" s="2">
        <v>571</v>
      </c>
      <c r="B572" s="4">
        <f>YEAR(F572)</f>
        <v>2023</v>
      </c>
      <c r="C572" s="4">
        <f>MONTH(F572)</f>
        <v>12</v>
      </c>
      <c r="D572" s="4">
        <f>DAY(F572)</f>
        <v>12</v>
      </c>
      <c r="E572" s="4" t="str">
        <f t="shared" si="8"/>
        <v>Tuesday</v>
      </c>
      <c r="F572" s="3">
        <v>45272</v>
      </c>
      <c r="G572" s="4" t="s">
        <v>603</v>
      </c>
      <c r="H572" s="4" t="s">
        <v>7</v>
      </c>
      <c r="I572" s="4">
        <v>41</v>
      </c>
      <c r="J572" s="4" t="str" cm="1">
        <f t="array" ref="J572">_xlfn.IFS(I572&lt;30,"Young Adult", I572&lt;50,"Adult",I572 &gt;=50,"Seniors")</f>
        <v>Adult</v>
      </c>
      <c r="K572" s="4" t="s">
        <v>4</v>
      </c>
      <c r="L572" s="4">
        <v>1</v>
      </c>
      <c r="M572" s="5">
        <v>50</v>
      </c>
      <c r="N572">
        <f>L572*M572</f>
        <v>50</v>
      </c>
      <c r="O572" s="15">
        <f>N572*$R$3</f>
        <v>0.75</v>
      </c>
    </row>
    <row r="573" spans="1:15">
      <c r="A573" s="2">
        <v>572</v>
      </c>
      <c r="B573" s="4">
        <f>YEAR(F573)</f>
        <v>2023</v>
      </c>
      <c r="C573" s="4">
        <f>MONTH(F573)</f>
        <v>4</v>
      </c>
      <c r="D573" s="4">
        <f>DAY(F573)</f>
        <v>20</v>
      </c>
      <c r="E573" s="4" t="str">
        <f t="shared" si="8"/>
        <v>Thursday</v>
      </c>
      <c r="F573" s="3">
        <v>45036</v>
      </c>
      <c r="G573" s="4" t="s">
        <v>604</v>
      </c>
      <c r="H573" s="4" t="s">
        <v>8</v>
      </c>
      <c r="I573" s="4">
        <v>31</v>
      </c>
      <c r="J573" s="4" t="str" cm="1">
        <f t="array" ref="J573">_xlfn.IFS(I573&lt;30,"Young Adult", I573&lt;50,"Adult",I573 &gt;=50,"Seniors")</f>
        <v>Adult</v>
      </c>
      <c r="K573" s="4" t="s">
        <v>3</v>
      </c>
      <c r="L573" s="4">
        <v>4</v>
      </c>
      <c r="M573" s="5">
        <v>500</v>
      </c>
      <c r="N573">
        <f>L573*M573</f>
        <v>2000</v>
      </c>
      <c r="O573" s="15">
        <f>N573*$R$3</f>
        <v>30</v>
      </c>
    </row>
    <row r="574" spans="1:15">
      <c r="A574" s="2">
        <v>573</v>
      </c>
      <c r="B574" s="4">
        <f>YEAR(F574)</f>
        <v>2023</v>
      </c>
      <c r="C574" s="4">
        <f>MONTH(F574)</f>
        <v>9</v>
      </c>
      <c r="D574" s="4">
        <f>DAY(F574)</f>
        <v>19</v>
      </c>
      <c r="E574" s="4" t="str">
        <f t="shared" si="8"/>
        <v>Tuesday</v>
      </c>
      <c r="F574" s="3">
        <v>45188</v>
      </c>
      <c r="G574" s="4" t="s">
        <v>605</v>
      </c>
      <c r="H574" s="4" t="s">
        <v>8</v>
      </c>
      <c r="I574" s="4">
        <v>49</v>
      </c>
      <c r="J574" s="4" t="str" cm="1">
        <f t="array" ref="J574">_xlfn.IFS(I574&lt;30,"Young Adult", I574&lt;50,"Adult",I574 &gt;=50,"Seniors")</f>
        <v>Adult</v>
      </c>
      <c r="K574" s="4" t="s">
        <v>2</v>
      </c>
      <c r="L574" s="4">
        <v>2</v>
      </c>
      <c r="M574" s="5">
        <v>30</v>
      </c>
      <c r="N574">
        <f>L574*M574</f>
        <v>60</v>
      </c>
      <c r="O574" s="15">
        <f>N574*$R$3</f>
        <v>0.89999999999999991</v>
      </c>
    </row>
    <row r="575" spans="1:15">
      <c r="A575" s="2">
        <v>574</v>
      </c>
      <c r="B575" s="4">
        <f>YEAR(F575)</f>
        <v>2023</v>
      </c>
      <c r="C575" s="4">
        <f>MONTH(F575)</f>
        <v>8</v>
      </c>
      <c r="D575" s="4">
        <f>DAY(F575)</f>
        <v>31</v>
      </c>
      <c r="E575" s="4" t="str">
        <f t="shared" si="8"/>
        <v>Thursday</v>
      </c>
      <c r="F575" s="3">
        <v>45169</v>
      </c>
      <c r="G575" s="4" t="s">
        <v>606</v>
      </c>
      <c r="H575" s="4" t="s">
        <v>7</v>
      </c>
      <c r="I575" s="4">
        <v>63</v>
      </c>
      <c r="J575" s="4" t="str" cm="1">
        <f t="array" ref="J575">_xlfn.IFS(I575&lt;30,"Young Adult", I575&lt;50,"Adult",I575 &gt;=50,"Seniors")</f>
        <v>Seniors</v>
      </c>
      <c r="K575" s="4" t="s">
        <v>4</v>
      </c>
      <c r="L575" s="4">
        <v>2</v>
      </c>
      <c r="M575" s="5">
        <v>25</v>
      </c>
      <c r="N575">
        <f>L575*M575</f>
        <v>50</v>
      </c>
      <c r="O575" s="15">
        <f>N575*$R$3</f>
        <v>0.75</v>
      </c>
    </row>
    <row r="576" spans="1:15">
      <c r="A576" s="2">
        <v>575</v>
      </c>
      <c r="B576" s="4">
        <f>YEAR(F576)</f>
        <v>2023</v>
      </c>
      <c r="C576" s="4">
        <f>MONTH(F576)</f>
        <v>3</v>
      </c>
      <c r="D576" s="4">
        <f>DAY(F576)</f>
        <v>28</v>
      </c>
      <c r="E576" s="4" t="str">
        <f t="shared" si="8"/>
        <v>Tuesday</v>
      </c>
      <c r="F576" s="3">
        <v>45013</v>
      </c>
      <c r="G576" s="4" t="s">
        <v>607</v>
      </c>
      <c r="H576" s="4" t="s">
        <v>8</v>
      </c>
      <c r="I576" s="4">
        <v>60</v>
      </c>
      <c r="J576" s="4" t="str" cm="1">
        <f t="array" ref="J576">_xlfn.IFS(I576&lt;30,"Young Adult", I576&lt;50,"Adult",I576 &gt;=50,"Seniors")</f>
        <v>Seniors</v>
      </c>
      <c r="K576" s="4" t="s">
        <v>3</v>
      </c>
      <c r="L576" s="4">
        <v>2</v>
      </c>
      <c r="M576" s="5">
        <v>50</v>
      </c>
      <c r="N576">
        <f>L576*M576</f>
        <v>100</v>
      </c>
      <c r="O576" s="15">
        <f>N576*$R$3</f>
        <v>1.5</v>
      </c>
    </row>
    <row r="577" spans="1:15">
      <c r="A577" s="2">
        <v>576</v>
      </c>
      <c r="B577" s="4">
        <f>YEAR(F577)</f>
        <v>2023</v>
      </c>
      <c r="C577" s="4">
        <f>MONTH(F577)</f>
        <v>12</v>
      </c>
      <c r="D577" s="4">
        <f>DAY(F577)</f>
        <v>4</v>
      </c>
      <c r="E577" s="4" t="str">
        <f t="shared" si="8"/>
        <v>Monday</v>
      </c>
      <c r="F577" s="3">
        <v>45264</v>
      </c>
      <c r="G577" s="4" t="s">
        <v>608</v>
      </c>
      <c r="H577" s="4" t="s">
        <v>7</v>
      </c>
      <c r="I577" s="4">
        <v>33</v>
      </c>
      <c r="J577" s="4" t="str" cm="1">
        <f t="array" ref="J577">_xlfn.IFS(I577&lt;30,"Young Adult", I577&lt;50,"Adult",I577 &gt;=50,"Seniors")</f>
        <v>Adult</v>
      </c>
      <c r="K577" s="4" t="s">
        <v>2</v>
      </c>
      <c r="L577" s="4">
        <v>3</v>
      </c>
      <c r="M577" s="5">
        <v>50</v>
      </c>
      <c r="N577">
        <f>L577*M577</f>
        <v>150</v>
      </c>
      <c r="O577" s="15">
        <f>N577*$R$3</f>
        <v>2.25</v>
      </c>
    </row>
    <row r="578" spans="1:15">
      <c r="A578" s="2">
        <v>577</v>
      </c>
      <c r="B578" s="4">
        <f>YEAR(F578)</f>
        <v>2023</v>
      </c>
      <c r="C578" s="4">
        <f>MONTH(F578)</f>
        <v>2</v>
      </c>
      <c r="D578" s="4">
        <f>DAY(F578)</f>
        <v>13</v>
      </c>
      <c r="E578" s="4" t="str">
        <f t="shared" si="8"/>
        <v>Monday</v>
      </c>
      <c r="F578" s="3">
        <v>44970</v>
      </c>
      <c r="G578" s="4" t="s">
        <v>609</v>
      </c>
      <c r="H578" s="4" t="s">
        <v>8</v>
      </c>
      <c r="I578" s="4">
        <v>21</v>
      </c>
      <c r="J578" s="4" t="str" cm="1">
        <f t="array" ref="J578">_xlfn.IFS(I578&lt;30,"Young Adult", I578&lt;50,"Adult",I578 &gt;=50,"Seniors")</f>
        <v>Young Adult</v>
      </c>
      <c r="K578" s="4" t="s">
        <v>2</v>
      </c>
      <c r="L578" s="4">
        <v>4</v>
      </c>
      <c r="M578" s="5">
        <v>500</v>
      </c>
      <c r="N578">
        <f>L578*M578</f>
        <v>2000</v>
      </c>
      <c r="O578" s="15">
        <f>N578*$R$3</f>
        <v>30</v>
      </c>
    </row>
    <row r="579" spans="1:15">
      <c r="A579" s="2">
        <v>578</v>
      </c>
      <c r="B579" s="4">
        <f>YEAR(F579)</f>
        <v>2023</v>
      </c>
      <c r="C579" s="4">
        <f>MONTH(F579)</f>
        <v>5</v>
      </c>
      <c r="D579" s="4">
        <f>DAY(F579)</f>
        <v>26</v>
      </c>
      <c r="E579" s="4" t="str">
        <f t="shared" ref="E579:E642" si="9">TEXT(F579,"dddd")</f>
        <v>Friday</v>
      </c>
      <c r="F579" s="3">
        <v>45072</v>
      </c>
      <c r="G579" s="4" t="s">
        <v>610</v>
      </c>
      <c r="H579" s="4" t="s">
        <v>7</v>
      </c>
      <c r="I579" s="4">
        <v>54</v>
      </c>
      <c r="J579" s="4" t="str" cm="1">
        <f t="array" ref="J579">_xlfn.IFS(I579&lt;30,"Young Adult", I579&lt;50,"Adult",I579 &gt;=50,"Seniors")</f>
        <v>Seniors</v>
      </c>
      <c r="K579" s="4" t="s">
        <v>3</v>
      </c>
      <c r="L579" s="4">
        <v>4</v>
      </c>
      <c r="M579" s="5">
        <v>30</v>
      </c>
      <c r="N579">
        <f>L579*M579</f>
        <v>120</v>
      </c>
      <c r="O579" s="15">
        <f>N579*$R$3</f>
        <v>1.7999999999999998</v>
      </c>
    </row>
    <row r="580" spans="1:15">
      <c r="A580" s="2">
        <v>579</v>
      </c>
      <c r="B580" s="4">
        <f>YEAR(F580)</f>
        <v>2023</v>
      </c>
      <c r="C580" s="4">
        <f>MONTH(F580)</f>
        <v>9</v>
      </c>
      <c r="D580" s="4">
        <f>DAY(F580)</f>
        <v>21</v>
      </c>
      <c r="E580" s="4" t="str">
        <f t="shared" si="9"/>
        <v>Thursday</v>
      </c>
      <c r="F580" s="3">
        <v>45190</v>
      </c>
      <c r="G580" s="4" t="s">
        <v>611</v>
      </c>
      <c r="H580" s="4" t="s">
        <v>7</v>
      </c>
      <c r="I580" s="4">
        <v>38</v>
      </c>
      <c r="J580" s="4" t="str" cm="1">
        <f t="array" ref="J580">_xlfn.IFS(I580&lt;30,"Young Adult", I580&lt;50,"Adult",I580 &gt;=50,"Seniors")</f>
        <v>Adult</v>
      </c>
      <c r="K580" s="4" t="s">
        <v>4</v>
      </c>
      <c r="L580" s="4">
        <v>1</v>
      </c>
      <c r="M580" s="5">
        <v>30</v>
      </c>
      <c r="N580">
        <f>L580*M580</f>
        <v>30</v>
      </c>
      <c r="O580" s="15">
        <f>N580*$R$3</f>
        <v>0.44999999999999996</v>
      </c>
    </row>
    <row r="581" spans="1:15">
      <c r="A581" s="2">
        <v>580</v>
      </c>
      <c r="B581" s="4">
        <f>YEAR(F581)</f>
        <v>2023</v>
      </c>
      <c r="C581" s="4">
        <f>MONTH(F581)</f>
        <v>12</v>
      </c>
      <c r="D581" s="4">
        <f>DAY(F581)</f>
        <v>6</v>
      </c>
      <c r="E581" s="4" t="str">
        <f t="shared" si="9"/>
        <v>Wednesday</v>
      </c>
      <c r="F581" s="3">
        <v>45266</v>
      </c>
      <c r="G581" s="4" t="s">
        <v>612</v>
      </c>
      <c r="H581" s="4" t="s">
        <v>7</v>
      </c>
      <c r="I581" s="4">
        <v>31</v>
      </c>
      <c r="J581" s="4" t="str" cm="1">
        <f t="array" ref="J581">_xlfn.IFS(I581&lt;30,"Young Adult", I581&lt;50,"Adult",I581 &gt;=50,"Seniors")</f>
        <v>Adult</v>
      </c>
      <c r="K581" s="4" t="s">
        <v>3</v>
      </c>
      <c r="L581" s="4">
        <v>3</v>
      </c>
      <c r="M581" s="5">
        <v>500</v>
      </c>
      <c r="N581">
        <f>L581*M581</f>
        <v>1500</v>
      </c>
      <c r="O581" s="15">
        <f>N581*$R$3</f>
        <v>22.5</v>
      </c>
    </row>
    <row r="582" spans="1:15">
      <c r="A582" s="2">
        <v>581</v>
      </c>
      <c r="B582" s="4">
        <f>YEAR(F582)</f>
        <v>2023</v>
      </c>
      <c r="C582" s="4">
        <f>MONTH(F582)</f>
        <v>11</v>
      </c>
      <c r="D582" s="4">
        <f>DAY(F582)</f>
        <v>21</v>
      </c>
      <c r="E582" s="4" t="str">
        <f t="shared" si="9"/>
        <v>Tuesday</v>
      </c>
      <c r="F582" s="3">
        <v>45251</v>
      </c>
      <c r="G582" s="4" t="s">
        <v>613</v>
      </c>
      <c r="H582" s="4" t="s">
        <v>7</v>
      </c>
      <c r="I582" s="4">
        <v>48</v>
      </c>
      <c r="J582" s="4" t="str" cm="1">
        <f t="array" ref="J582">_xlfn.IFS(I582&lt;30,"Young Adult", I582&lt;50,"Adult",I582 &gt;=50,"Seniors")</f>
        <v>Adult</v>
      </c>
      <c r="K582" s="4" t="s">
        <v>2</v>
      </c>
      <c r="L582" s="4">
        <v>2</v>
      </c>
      <c r="M582" s="5">
        <v>30</v>
      </c>
      <c r="N582">
        <f>L582*M582</f>
        <v>60</v>
      </c>
      <c r="O582" s="15">
        <f>N582*$R$3</f>
        <v>0.89999999999999991</v>
      </c>
    </row>
    <row r="583" spans="1:15">
      <c r="A583" s="2">
        <v>582</v>
      </c>
      <c r="B583" s="4">
        <f>YEAR(F583)</f>
        <v>2023</v>
      </c>
      <c r="C583" s="4">
        <f>MONTH(F583)</f>
        <v>11</v>
      </c>
      <c r="D583" s="4">
        <f>DAY(F583)</f>
        <v>14</v>
      </c>
      <c r="E583" s="4" t="str">
        <f t="shared" si="9"/>
        <v>Tuesday</v>
      </c>
      <c r="F583" s="3">
        <v>45244</v>
      </c>
      <c r="G583" s="4" t="s">
        <v>614</v>
      </c>
      <c r="H583" s="4" t="s">
        <v>8</v>
      </c>
      <c r="I583" s="4">
        <v>35</v>
      </c>
      <c r="J583" s="4" t="str" cm="1">
        <f t="array" ref="J583">_xlfn.IFS(I583&lt;30,"Young Adult", I583&lt;50,"Adult",I583 &gt;=50,"Seniors")</f>
        <v>Adult</v>
      </c>
      <c r="K583" s="4" t="s">
        <v>3</v>
      </c>
      <c r="L583" s="4">
        <v>3</v>
      </c>
      <c r="M583" s="5">
        <v>300</v>
      </c>
      <c r="N583">
        <f>L583*M583</f>
        <v>900</v>
      </c>
      <c r="O583" s="15">
        <f>N583*$R$3</f>
        <v>13.5</v>
      </c>
    </row>
    <row r="584" spans="1:15">
      <c r="A584" s="2">
        <v>583</v>
      </c>
      <c r="B584" s="4">
        <f>YEAR(F584)</f>
        <v>2023</v>
      </c>
      <c r="C584" s="4">
        <f>MONTH(F584)</f>
        <v>6</v>
      </c>
      <c r="D584" s="4">
        <f>DAY(F584)</f>
        <v>21</v>
      </c>
      <c r="E584" s="4" t="str">
        <f t="shared" si="9"/>
        <v>Wednesday</v>
      </c>
      <c r="F584" s="3">
        <v>45098</v>
      </c>
      <c r="G584" s="4" t="s">
        <v>615</v>
      </c>
      <c r="H584" s="4" t="s">
        <v>7</v>
      </c>
      <c r="I584" s="4">
        <v>24</v>
      </c>
      <c r="J584" s="4" t="str" cm="1">
        <f t="array" ref="J584">_xlfn.IFS(I584&lt;30,"Young Adult", I584&lt;50,"Adult",I584 &gt;=50,"Seniors")</f>
        <v>Young Adult</v>
      </c>
      <c r="K584" s="4" t="s">
        <v>4</v>
      </c>
      <c r="L584" s="4">
        <v>4</v>
      </c>
      <c r="M584" s="5">
        <v>25</v>
      </c>
      <c r="N584">
        <f>L584*M584</f>
        <v>100</v>
      </c>
      <c r="O584" s="15">
        <f>N584*$R$3</f>
        <v>1.5</v>
      </c>
    </row>
    <row r="585" spans="1:15">
      <c r="A585" s="2">
        <v>584</v>
      </c>
      <c r="B585" s="4">
        <f>YEAR(F585)</f>
        <v>2023</v>
      </c>
      <c r="C585" s="4">
        <f>MONTH(F585)</f>
        <v>2</v>
      </c>
      <c r="D585" s="4">
        <f>DAY(F585)</f>
        <v>17</v>
      </c>
      <c r="E585" s="4" t="str">
        <f t="shared" si="9"/>
        <v>Friday</v>
      </c>
      <c r="F585" s="3">
        <v>44974</v>
      </c>
      <c r="G585" s="4" t="s">
        <v>616</v>
      </c>
      <c r="H585" s="4" t="s">
        <v>7</v>
      </c>
      <c r="I585" s="4">
        <v>27</v>
      </c>
      <c r="J585" s="4" t="str" cm="1">
        <f t="array" ref="J585">_xlfn.IFS(I585&lt;30,"Young Adult", I585&lt;50,"Adult",I585 &gt;=50,"Seniors")</f>
        <v>Young Adult</v>
      </c>
      <c r="K585" s="4" t="s">
        <v>2</v>
      </c>
      <c r="L585" s="4">
        <v>4</v>
      </c>
      <c r="M585" s="5">
        <v>50</v>
      </c>
      <c r="N585">
        <f>L585*M585</f>
        <v>200</v>
      </c>
      <c r="O585" s="15">
        <f>N585*$R$3</f>
        <v>3</v>
      </c>
    </row>
    <row r="586" spans="1:15">
      <c r="A586" s="2">
        <v>585</v>
      </c>
      <c r="B586" s="4">
        <f>YEAR(F586)</f>
        <v>2023</v>
      </c>
      <c r="C586" s="4">
        <f>MONTH(F586)</f>
        <v>5</v>
      </c>
      <c r="D586" s="4">
        <f>DAY(F586)</f>
        <v>1</v>
      </c>
      <c r="E586" s="4" t="str">
        <f t="shared" si="9"/>
        <v>Monday</v>
      </c>
      <c r="F586" s="3">
        <v>45047</v>
      </c>
      <c r="G586" s="4" t="s">
        <v>617</v>
      </c>
      <c r="H586" s="4" t="s">
        <v>7</v>
      </c>
      <c r="I586" s="4">
        <v>24</v>
      </c>
      <c r="J586" s="4" t="str" cm="1">
        <f t="array" ref="J586">_xlfn.IFS(I586&lt;30,"Young Adult", I586&lt;50,"Adult",I586 &gt;=50,"Seniors")</f>
        <v>Young Adult</v>
      </c>
      <c r="K586" s="4" t="s">
        <v>3</v>
      </c>
      <c r="L586" s="4">
        <v>1</v>
      </c>
      <c r="M586" s="5">
        <v>25</v>
      </c>
      <c r="N586">
        <f>L586*M586</f>
        <v>25</v>
      </c>
      <c r="O586" s="15">
        <f>N586*$R$3</f>
        <v>0.375</v>
      </c>
    </row>
    <row r="587" spans="1:15">
      <c r="A587" s="2">
        <v>586</v>
      </c>
      <c r="B587" s="4">
        <f>YEAR(F587)</f>
        <v>2023</v>
      </c>
      <c r="C587" s="4">
        <f>MONTH(F587)</f>
        <v>12</v>
      </c>
      <c r="D587" s="4">
        <f>DAY(F587)</f>
        <v>11</v>
      </c>
      <c r="E587" s="4" t="str">
        <f t="shared" si="9"/>
        <v>Monday</v>
      </c>
      <c r="F587" s="3">
        <v>45271</v>
      </c>
      <c r="G587" s="4" t="s">
        <v>618</v>
      </c>
      <c r="H587" s="4" t="s">
        <v>8</v>
      </c>
      <c r="I587" s="4">
        <v>50</v>
      </c>
      <c r="J587" s="4" t="str" cm="1">
        <f t="array" ref="J587">_xlfn.IFS(I587&lt;30,"Young Adult", I587&lt;50,"Adult",I587 &gt;=50,"Seniors")</f>
        <v>Seniors</v>
      </c>
      <c r="K587" s="4" t="s">
        <v>4</v>
      </c>
      <c r="L587" s="4">
        <v>1</v>
      </c>
      <c r="M587" s="5">
        <v>50</v>
      </c>
      <c r="N587">
        <f>L587*M587</f>
        <v>50</v>
      </c>
      <c r="O587" s="15">
        <f>N587*$R$3</f>
        <v>0.75</v>
      </c>
    </row>
    <row r="588" spans="1:15">
      <c r="A588" s="2">
        <v>587</v>
      </c>
      <c r="B588" s="4">
        <f>YEAR(F588)</f>
        <v>2023</v>
      </c>
      <c r="C588" s="4">
        <f>MONTH(F588)</f>
        <v>6</v>
      </c>
      <c r="D588" s="4">
        <f>DAY(F588)</f>
        <v>8</v>
      </c>
      <c r="E588" s="4" t="str">
        <f t="shared" si="9"/>
        <v>Thursday</v>
      </c>
      <c r="F588" s="3">
        <v>45085</v>
      </c>
      <c r="G588" s="4" t="s">
        <v>619</v>
      </c>
      <c r="H588" s="4" t="s">
        <v>7</v>
      </c>
      <c r="I588" s="4">
        <v>40</v>
      </c>
      <c r="J588" s="4" t="str" cm="1">
        <f t="array" ref="J588">_xlfn.IFS(I588&lt;30,"Young Adult", I588&lt;50,"Adult",I588 &gt;=50,"Seniors")</f>
        <v>Adult</v>
      </c>
      <c r="K588" s="4" t="s">
        <v>2</v>
      </c>
      <c r="L588" s="4">
        <v>4</v>
      </c>
      <c r="M588" s="5">
        <v>300</v>
      </c>
      <c r="N588">
        <f>L588*M588</f>
        <v>1200</v>
      </c>
      <c r="O588" s="15">
        <f>N588*$R$3</f>
        <v>18</v>
      </c>
    </row>
    <row r="589" spans="1:15">
      <c r="A589" s="2">
        <v>588</v>
      </c>
      <c r="B589" s="4">
        <f>YEAR(F589)</f>
        <v>2023</v>
      </c>
      <c r="C589" s="4">
        <f>MONTH(F589)</f>
        <v>4</v>
      </c>
      <c r="D589" s="4">
        <f>DAY(F589)</f>
        <v>26</v>
      </c>
      <c r="E589" s="4" t="str">
        <f t="shared" si="9"/>
        <v>Wednesday</v>
      </c>
      <c r="F589" s="3">
        <v>45042</v>
      </c>
      <c r="G589" s="4" t="s">
        <v>620</v>
      </c>
      <c r="H589" s="4" t="s">
        <v>8</v>
      </c>
      <c r="I589" s="4">
        <v>38</v>
      </c>
      <c r="J589" s="4" t="str" cm="1">
        <f t="array" ref="J589">_xlfn.IFS(I589&lt;30,"Young Adult", I589&lt;50,"Adult",I589 &gt;=50,"Seniors")</f>
        <v>Adult</v>
      </c>
      <c r="K589" s="4" t="s">
        <v>4</v>
      </c>
      <c r="L589" s="4">
        <v>2</v>
      </c>
      <c r="M589" s="5">
        <v>30</v>
      </c>
      <c r="N589">
        <f>L589*M589</f>
        <v>60</v>
      </c>
      <c r="O589" s="15">
        <f>N589*$R$3</f>
        <v>0.89999999999999991</v>
      </c>
    </row>
    <row r="590" spans="1:15">
      <c r="A590" s="2">
        <v>589</v>
      </c>
      <c r="B590" s="4">
        <f>YEAR(F590)</f>
        <v>2023</v>
      </c>
      <c r="C590" s="4">
        <f>MONTH(F590)</f>
        <v>4</v>
      </c>
      <c r="D590" s="4">
        <f>DAY(F590)</f>
        <v>12</v>
      </c>
      <c r="E590" s="4" t="str">
        <f t="shared" si="9"/>
        <v>Wednesday</v>
      </c>
      <c r="F590" s="3">
        <v>45028</v>
      </c>
      <c r="G590" s="4" t="s">
        <v>621</v>
      </c>
      <c r="H590" s="4" t="s">
        <v>7</v>
      </c>
      <c r="I590" s="4">
        <v>36</v>
      </c>
      <c r="J590" s="4" t="str" cm="1">
        <f t="array" ref="J590">_xlfn.IFS(I590&lt;30,"Young Adult", I590&lt;50,"Adult",I590 &gt;=50,"Seniors")</f>
        <v>Adult</v>
      </c>
      <c r="K590" s="4" t="s">
        <v>2</v>
      </c>
      <c r="L590" s="4">
        <v>2</v>
      </c>
      <c r="M590" s="5">
        <v>500</v>
      </c>
      <c r="N590">
        <f>L590*M590</f>
        <v>1000</v>
      </c>
      <c r="O590" s="15">
        <f>N590*$R$3</f>
        <v>15</v>
      </c>
    </row>
    <row r="591" spans="1:15">
      <c r="A591" s="2">
        <v>590</v>
      </c>
      <c r="B591" s="4">
        <f>YEAR(F591)</f>
        <v>2023</v>
      </c>
      <c r="C591" s="4">
        <f>MONTH(F591)</f>
        <v>3</v>
      </c>
      <c r="D591" s="4">
        <f>DAY(F591)</f>
        <v>17</v>
      </c>
      <c r="E591" s="4" t="str">
        <f t="shared" si="9"/>
        <v>Friday</v>
      </c>
      <c r="F591" s="3">
        <v>45002</v>
      </c>
      <c r="G591" s="4" t="s">
        <v>622</v>
      </c>
      <c r="H591" s="4" t="s">
        <v>8</v>
      </c>
      <c r="I591" s="4">
        <v>36</v>
      </c>
      <c r="J591" s="4" t="str" cm="1">
        <f t="array" ref="J591">_xlfn.IFS(I591&lt;30,"Young Adult", I591&lt;50,"Adult",I591 &gt;=50,"Seniors")</f>
        <v>Adult</v>
      </c>
      <c r="K591" s="4" t="s">
        <v>3</v>
      </c>
      <c r="L591" s="4">
        <v>3</v>
      </c>
      <c r="M591" s="5">
        <v>300</v>
      </c>
      <c r="N591">
        <f>L591*M591</f>
        <v>900</v>
      </c>
      <c r="O591" s="15">
        <f>N591*$R$3</f>
        <v>13.5</v>
      </c>
    </row>
    <row r="592" spans="1:15">
      <c r="A592" s="2">
        <v>591</v>
      </c>
      <c r="B592" s="4">
        <f>YEAR(F592)</f>
        <v>2023</v>
      </c>
      <c r="C592" s="4">
        <f>MONTH(F592)</f>
        <v>1</v>
      </c>
      <c r="D592" s="4">
        <f>DAY(F592)</f>
        <v>13</v>
      </c>
      <c r="E592" s="4" t="str">
        <f t="shared" si="9"/>
        <v>Friday</v>
      </c>
      <c r="F592" s="3">
        <v>44939</v>
      </c>
      <c r="G592" s="4" t="s">
        <v>623</v>
      </c>
      <c r="H592" s="4" t="s">
        <v>8</v>
      </c>
      <c r="I592" s="4">
        <v>53</v>
      </c>
      <c r="J592" s="4" t="str" cm="1">
        <f t="array" ref="J592">_xlfn.IFS(I592&lt;30,"Young Adult", I592&lt;50,"Adult",I592 &gt;=50,"Seniors")</f>
        <v>Seniors</v>
      </c>
      <c r="K592" s="4" t="s">
        <v>4</v>
      </c>
      <c r="L592" s="4">
        <v>4</v>
      </c>
      <c r="M592" s="5">
        <v>25</v>
      </c>
      <c r="N592">
        <f>L592*M592</f>
        <v>100</v>
      </c>
      <c r="O592" s="15">
        <f>N592*$R$3</f>
        <v>1.5</v>
      </c>
    </row>
    <row r="593" spans="1:15">
      <c r="A593" s="2">
        <v>592</v>
      </c>
      <c r="B593" s="4">
        <f>YEAR(F593)</f>
        <v>2023</v>
      </c>
      <c r="C593" s="4">
        <f>MONTH(F593)</f>
        <v>1</v>
      </c>
      <c r="D593" s="4">
        <f>DAY(F593)</f>
        <v>24</v>
      </c>
      <c r="E593" s="4" t="str">
        <f t="shared" si="9"/>
        <v>Tuesday</v>
      </c>
      <c r="F593" s="3">
        <v>44950</v>
      </c>
      <c r="G593" s="4" t="s">
        <v>624</v>
      </c>
      <c r="H593" s="4" t="s">
        <v>7</v>
      </c>
      <c r="I593" s="4">
        <v>46</v>
      </c>
      <c r="J593" s="4" t="str" cm="1">
        <f t="array" ref="J593">_xlfn.IFS(I593&lt;30,"Young Adult", I593&lt;50,"Adult",I593 &gt;=50,"Seniors")</f>
        <v>Adult</v>
      </c>
      <c r="K593" s="4" t="s">
        <v>2</v>
      </c>
      <c r="L593" s="4">
        <v>4</v>
      </c>
      <c r="M593" s="5">
        <v>500</v>
      </c>
      <c r="N593">
        <f>L593*M593</f>
        <v>2000</v>
      </c>
      <c r="O593" s="15">
        <f>N593*$R$3</f>
        <v>30</v>
      </c>
    </row>
    <row r="594" spans="1:15">
      <c r="A594" s="2">
        <v>593</v>
      </c>
      <c r="B594" s="4">
        <f>YEAR(F594)</f>
        <v>2023</v>
      </c>
      <c r="C594" s="4">
        <f>MONTH(F594)</f>
        <v>5</v>
      </c>
      <c r="D594" s="4">
        <f>DAY(F594)</f>
        <v>6</v>
      </c>
      <c r="E594" s="4" t="str">
        <f t="shared" si="9"/>
        <v>Saturday</v>
      </c>
      <c r="F594" s="3">
        <v>45052</v>
      </c>
      <c r="G594" s="4" t="s">
        <v>625</v>
      </c>
      <c r="H594" s="4" t="s">
        <v>8</v>
      </c>
      <c r="I594" s="4">
        <v>35</v>
      </c>
      <c r="J594" s="4" t="str" cm="1">
        <f t="array" ref="J594">_xlfn.IFS(I594&lt;30,"Young Adult", I594&lt;50,"Adult",I594 &gt;=50,"Seniors")</f>
        <v>Adult</v>
      </c>
      <c r="K594" s="4" t="s">
        <v>4</v>
      </c>
      <c r="L594" s="4">
        <v>2</v>
      </c>
      <c r="M594" s="5">
        <v>30</v>
      </c>
      <c r="N594">
        <f>L594*M594</f>
        <v>60</v>
      </c>
      <c r="O594" s="15">
        <f>N594*$R$3</f>
        <v>0.89999999999999991</v>
      </c>
    </row>
    <row r="595" spans="1:15">
      <c r="A595" s="2">
        <v>594</v>
      </c>
      <c r="B595" s="4">
        <f>YEAR(F595)</f>
        <v>2023</v>
      </c>
      <c r="C595" s="4">
        <f>MONTH(F595)</f>
        <v>9</v>
      </c>
      <c r="D595" s="4">
        <f>DAY(F595)</f>
        <v>1</v>
      </c>
      <c r="E595" s="4" t="str">
        <f t="shared" si="9"/>
        <v>Friday</v>
      </c>
      <c r="F595" s="3">
        <v>45170</v>
      </c>
      <c r="G595" s="4" t="s">
        <v>626</v>
      </c>
      <c r="H595" s="4" t="s">
        <v>7</v>
      </c>
      <c r="I595" s="4">
        <v>19</v>
      </c>
      <c r="J595" s="4" t="str" cm="1">
        <f t="array" ref="J595">_xlfn.IFS(I595&lt;30,"Young Adult", I595&lt;50,"Adult",I595 &gt;=50,"Seniors")</f>
        <v>Young Adult</v>
      </c>
      <c r="K595" s="4" t="s">
        <v>4</v>
      </c>
      <c r="L595" s="4">
        <v>2</v>
      </c>
      <c r="M595" s="5">
        <v>300</v>
      </c>
      <c r="N595">
        <f>L595*M595</f>
        <v>600</v>
      </c>
      <c r="O595" s="15">
        <f>N595*$R$3</f>
        <v>9</v>
      </c>
    </row>
    <row r="596" spans="1:15">
      <c r="A596" s="2">
        <v>595</v>
      </c>
      <c r="B596" s="4">
        <f>YEAR(F596)</f>
        <v>2023</v>
      </c>
      <c r="C596" s="4">
        <f>MONTH(F596)</f>
        <v>11</v>
      </c>
      <c r="D596" s="4">
        <f>DAY(F596)</f>
        <v>9</v>
      </c>
      <c r="E596" s="4" t="str">
        <f t="shared" si="9"/>
        <v>Thursday</v>
      </c>
      <c r="F596" s="3">
        <v>45239</v>
      </c>
      <c r="G596" s="4" t="s">
        <v>627</v>
      </c>
      <c r="H596" s="4" t="s">
        <v>7</v>
      </c>
      <c r="I596" s="4">
        <v>18</v>
      </c>
      <c r="J596" s="4" t="str" cm="1">
        <f t="array" ref="J596">_xlfn.IFS(I596&lt;30,"Young Adult", I596&lt;50,"Adult",I596 &gt;=50,"Seniors")</f>
        <v>Young Adult</v>
      </c>
      <c r="K596" s="4" t="s">
        <v>3</v>
      </c>
      <c r="L596" s="4">
        <v>4</v>
      </c>
      <c r="M596" s="5">
        <v>500</v>
      </c>
      <c r="N596">
        <f>L596*M596</f>
        <v>2000</v>
      </c>
      <c r="O596" s="15">
        <f>N596*$R$3</f>
        <v>30</v>
      </c>
    </row>
    <row r="597" spans="1:15">
      <c r="A597" s="2">
        <v>596</v>
      </c>
      <c r="B597" s="4">
        <f>YEAR(F597)</f>
        <v>2023</v>
      </c>
      <c r="C597" s="4">
        <f>MONTH(F597)</f>
        <v>2</v>
      </c>
      <c r="D597" s="4">
        <f>DAY(F597)</f>
        <v>7</v>
      </c>
      <c r="E597" s="4" t="str">
        <f t="shared" si="9"/>
        <v>Tuesday</v>
      </c>
      <c r="F597" s="3">
        <v>44964</v>
      </c>
      <c r="G597" s="4" t="s">
        <v>628</v>
      </c>
      <c r="H597" s="4" t="s">
        <v>7</v>
      </c>
      <c r="I597" s="4">
        <v>64</v>
      </c>
      <c r="J597" s="4" t="str" cm="1">
        <f t="array" ref="J597">_xlfn.IFS(I597&lt;30,"Young Adult", I597&lt;50,"Adult",I597 &gt;=50,"Seniors")</f>
        <v>Seniors</v>
      </c>
      <c r="K597" s="4" t="s">
        <v>4</v>
      </c>
      <c r="L597" s="4">
        <v>1</v>
      </c>
      <c r="M597" s="5">
        <v>300</v>
      </c>
      <c r="N597">
        <f>L597*M597</f>
        <v>300</v>
      </c>
      <c r="O597" s="15">
        <f>N597*$R$3</f>
        <v>4.5</v>
      </c>
    </row>
    <row r="598" spans="1:15">
      <c r="A598" s="2">
        <v>597</v>
      </c>
      <c r="B598" s="4">
        <f>YEAR(F598)</f>
        <v>2023</v>
      </c>
      <c r="C598" s="4">
        <f>MONTH(F598)</f>
        <v>8</v>
      </c>
      <c r="D598" s="4">
        <f>DAY(F598)</f>
        <v>22</v>
      </c>
      <c r="E598" s="4" t="str">
        <f t="shared" si="9"/>
        <v>Tuesday</v>
      </c>
      <c r="F598" s="3">
        <v>45160</v>
      </c>
      <c r="G598" s="4" t="s">
        <v>629</v>
      </c>
      <c r="H598" s="4" t="s">
        <v>8</v>
      </c>
      <c r="I598" s="4">
        <v>22</v>
      </c>
      <c r="J598" s="4" t="str" cm="1">
        <f t="array" ref="J598">_xlfn.IFS(I598&lt;30,"Young Adult", I598&lt;50,"Adult",I598 &gt;=50,"Seniors")</f>
        <v>Young Adult</v>
      </c>
      <c r="K598" s="4" t="s">
        <v>2</v>
      </c>
      <c r="L598" s="4">
        <v>4</v>
      </c>
      <c r="M598" s="5">
        <v>300</v>
      </c>
      <c r="N598">
        <f>L598*M598</f>
        <v>1200</v>
      </c>
      <c r="O598" s="15">
        <f>N598*$R$3</f>
        <v>18</v>
      </c>
    </row>
    <row r="599" spans="1:15">
      <c r="A599" s="2">
        <v>598</v>
      </c>
      <c r="B599" s="4">
        <f>YEAR(F599)</f>
        <v>2023</v>
      </c>
      <c r="C599" s="4">
        <f>MONTH(F599)</f>
        <v>8</v>
      </c>
      <c r="D599" s="4">
        <f>DAY(F599)</f>
        <v>1</v>
      </c>
      <c r="E599" s="4" t="str">
        <f t="shared" si="9"/>
        <v>Tuesday</v>
      </c>
      <c r="F599" s="3">
        <v>45139</v>
      </c>
      <c r="G599" s="4" t="s">
        <v>630</v>
      </c>
      <c r="H599" s="4" t="s">
        <v>8</v>
      </c>
      <c r="I599" s="4">
        <v>37</v>
      </c>
      <c r="J599" s="4" t="str" cm="1">
        <f t="array" ref="J599">_xlfn.IFS(I599&lt;30,"Young Adult", I599&lt;50,"Adult",I599 &gt;=50,"Seniors")</f>
        <v>Adult</v>
      </c>
      <c r="K599" s="4" t="s">
        <v>2</v>
      </c>
      <c r="L599" s="4">
        <v>4</v>
      </c>
      <c r="M599" s="5">
        <v>30</v>
      </c>
      <c r="N599">
        <f>L599*M599</f>
        <v>120</v>
      </c>
      <c r="O599" s="15">
        <f>N599*$R$3</f>
        <v>1.7999999999999998</v>
      </c>
    </row>
    <row r="600" spans="1:15">
      <c r="A600" s="2">
        <v>599</v>
      </c>
      <c r="B600" s="4">
        <f>YEAR(F600)</f>
        <v>2023</v>
      </c>
      <c r="C600" s="4">
        <f>MONTH(F600)</f>
        <v>11</v>
      </c>
      <c r="D600" s="4">
        <f>DAY(F600)</f>
        <v>19</v>
      </c>
      <c r="E600" s="4" t="str">
        <f t="shared" si="9"/>
        <v>Sunday</v>
      </c>
      <c r="F600" s="3">
        <v>45249</v>
      </c>
      <c r="G600" s="4" t="s">
        <v>631</v>
      </c>
      <c r="H600" s="4" t="s">
        <v>7</v>
      </c>
      <c r="I600" s="4">
        <v>28</v>
      </c>
      <c r="J600" s="4" t="str" cm="1">
        <f t="array" ref="J600">_xlfn.IFS(I600&lt;30,"Young Adult", I600&lt;50,"Adult",I600 &gt;=50,"Seniors")</f>
        <v>Young Adult</v>
      </c>
      <c r="K600" s="4" t="s">
        <v>2</v>
      </c>
      <c r="L600" s="4">
        <v>2</v>
      </c>
      <c r="M600" s="5">
        <v>50</v>
      </c>
      <c r="N600">
        <f>L600*M600</f>
        <v>100</v>
      </c>
      <c r="O600" s="15">
        <f>N600*$R$3</f>
        <v>1.5</v>
      </c>
    </row>
    <row r="601" spans="1:15">
      <c r="A601" s="2">
        <v>600</v>
      </c>
      <c r="B601" s="4">
        <f>YEAR(F601)</f>
        <v>2023</v>
      </c>
      <c r="C601" s="4">
        <f>MONTH(F601)</f>
        <v>10</v>
      </c>
      <c r="D601" s="4">
        <f>DAY(F601)</f>
        <v>22</v>
      </c>
      <c r="E601" s="4" t="str">
        <f t="shared" si="9"/>
        <v>Sunday</v>
      </c>
      <c r="F601" s="3">
        <v>45221</v>
      </c>
      <c r="G601" s="4" t="s">
        <v>632</v>
      </c>
      <c r="H601" s="4" t="s">
        <v>7</v>
      </c>
      <c r="I601" s="4">
        <v>59</v>
      </c>
      <c r="J601" s="4" t="str" cm="1">
        <f t="array" ref="J601">_xlfn.IFS(I601&lt;30,"Young Adult", I601&lt;50,"Adult",I601 &gt;=50,"Seniors")</f>
        <v>Seniors</v>
      </c>
      <c r="K601" s="4" t="s">
        <v>2</v>
      </c>
      <c r="L601" s="4">
        <v>2</v>
      </c>
      <c r="M601" s="5">
        <v>500</v>
      </c>
      <c r="N601">
        <f>L601*M601</f>
        <v>1000</v>
      </c>
      <c r="O601" s="15">
        <f>N601*$R$3</f>
        <v>15</v>
      </c>
    </row>
    <row r="602" spans="1:15">
      <c r="A602" s="2">
        <v>601</v>
      </c>
      <c r="B602" s="4">
        <f>YEAR(F602)</f>
        <v>2023</v>
      </c>
      <c r="C602" s="4">
        <f>MONTH(F602)</f>
        <v>4</v>
      </c>
      <c r="D602" s="4">
        <f>DAY(F602)</f>
        <v>10</v>
      </c>
      <c r="E602" s="4" t="str">
        <f t="shared" si="9"/>
        <v>Monday</v>
      </c>
      <c r="F602" s="3">
        <v>45026</v>
      </c>
      <c r="G602" s="4" t="s">
        <v>633</v>
      </c>
      <c r="H602" s="4" t="s">
        <v>8</v>
      </c>
      <c r="I602" s="4">
        <v>19</v>
      </c>
      <c r="J602" s="4" t="str" cm="1">
        <f t="array" ref="J602">_xlfn.IFS(I602&lt;30,"Young Adult", I602&lt;50,"Adult",I602 &gt;=50,"Seniors")</f>
        <v>Young Adult</v>
      </c>
      <c r="K602" s="4" t="s">
        <v>3</v>
      </c>
      <c r="L602" s="4">
        <v>1</v>
      </c>
      <c r="M602" s="5">
        <v>30</v>
      </c>
      <c r="N602">
        <f>L602*M602</f>
        <v>30</v>
      </c>
      <c r="O602" s="15">
        <f>N602*$R$3</f>
        <v>0.44999999999999996</v>
      </c>
    </row>
    <row r="603" spans="1:15">
      <c r="A603" s="2">
        <v>602</v>
      </c>
      <c r="B603" s="4">
        <f>YEAR(F603)</f>
        <v>2023</v>
      </c>
      <c r="C603" s="4">
        <f>MONTH(F603)</f>
        <v>12</v>
      </c>
      <c r="D603" s="4">
        <f>DAY(F603)</f>
        <v>23</v>
      </c>
      <c r="E603" s="4" t="str">
        <f t="shared" si="9"/>
        <v>Saturday</v>
      </c>
      <c r="F603" s="3">
        <v>45283</v>
      </c>
      <c r="G603" s="4" t="s">
        <v>634</v>
      </c>
      <c r="H603" s="4" t="s">
        <v>7</v>
      </c>
      <c r="I603" s="4">
        <v>20</v>
      </c>
      <c r="J603" s="4" t="str" cm="1">
        <f t="array" ref="J603">_xlfn.IFS(I603&lt;30,"Young Adult", I603&lt;50,"Adult",I603 &gt;=50,"Seniors")</f>
        <v>Young Adult</v>
      </c>
      <c r="K603" s="4" t="s">
        <v>4</v>
      </c>
      <c r="L603" s="4">
        <v>1</v>
      </c>
      <c r="M603" s="5">
        <v>300</v>
      </c>
      <c r="N603">
        <f>L603*M603</f>
        <v>300</v>
      </c>
      <c r="O603" s="15">
        <f>N603*$R$3</f>
        <v>4.5</v>
      </c>
    </row>
    <row r="604" spans="1:15">
      <c r="A604" s="2">
        <v>603</v>
      </c>
      <c r="B604" s="4">
        <f>YEAR(F604)</f>
        <v>2023</v>
      </c>
      <c r="C604" s="4">
        <f>MONTH(F604)</f>
        <v>7</v>
      </c>
      <c r="D604" s="4">
        <f>DAY(F604)</f>
        <v>16</v>
      </c>
      <c r="E604" s="4" t="str">
        <f t="shared" si="9"/>
        <v>Sunday</v>
      </c>
      <c r="F604" s="3">
        <v>45123</v>
      </c>
      <c r="G604" s="4" t="s">
        <v>635</v>
      </c>
      <c r="H604" s="4" t="s">
        <v>7</v>
      </c>
      <c r="I604" s="4">
        <v>40</v>
      </c>
      <c r="J604" s="4" t="str" cm="1">
        <f t="array" ref="J604">_xlfn.IFS(I604&lt;30,"Young Adult", I604&lt;50,"Adult",I604 &gt;=50,"Seniors")</f>
        <v>Adult</v>
      </c>
      <c r="K604" s="4" t="s">
        <v>3</v>
      </c>
      <c r="L604" s="4">
        <v>3</v>
      </c>
      <c r="M604" s="5">
        <v>30</v>
      </c>
      <c r="N604">
        <f>L604*M604</f>
        <v>90</v>
      </c>
      <c r="O604" s="15">
        <f>N604*$R$3</f>
        <v>1.3499999999999999</v>
      </c>
    </row>
    <row r="605" spans="1:15">
      <c r="A605" s="2">
        <v>604</v>
      </c>
      <c r="B605" s="4">
        <f>YEAR(F605)</f>
        <v>2023</v>
      </c>
      <c r="C605" s="4">
        <f>MONTH(F605)</f>
        <v>9</v>
      </c>
      <c r="D605" s="4">
        <f>DAY(F605)</f>
        <v>11</v>
      </c>
      <c r="E605" s="4" t="str">
        <f t="shared" si="9"/>
        <v>Monday</v>
      </c>
      <c r="F605" s="3">
        <v>45180</v>
      </c>
      <c r="G605" s="4" t="s">
        <v>636</v>
      </c>
      <c r="H605" s="4" t="s">
        <v>7</v>
      </c>
      <c r="I605" s="4">
        <v>29</v>
      </c>
      <c r="J605" s="4" t="str" cm="1">
        <f t="array" ref="J605">_xlfn.IFS(I605&lt;30,"Young Adult", I605&lt;50,"Adult",I605 &gt;=50,"Seniors")</f>
        <v>Young Adult</v>
      </c>
      <c r="K605" s="4" t="s">
        <v>4</v>
      </c>
      <c r="L605" s="4">
        <v>4</v>
      </c>
      <c r="M605" s="5">
        <v>50</v>
      </c>
      <c r="N605">
        <f>L605*M605</f>
        <v>200</v>
      </c>
      <c r="O605" s="15">
        <f>N605*$R$3</f>
        <v>3</v>
      </c>
    </row>
    <row r="606" spans="1:15">
      <c r="A606" s="2">
        <v>605</v>
      </c>
      <c r="B606" s="4">
        <f>YEAR(F606)</f>
        <v>2023</v>
      </c>
      <c r="C606" s="4">
        <f>MONTH(F606)</f>
        <v>7</v>
      </c>
      <c r="D606" s="4">
        <f>DAY(F606)</f>
        <v>24</v>
      </c>
      <c r="E606" s="4" t="str">
        <f t="shared" si="9"/>
        <v>Monday</v>
      </c>
      <c r="F606" s="3">
        <v>45131</v>
      </c>
      <c r="G606" s="4" t="s">
        <v>637</v>
      </c>
      <c r="H606" s="4" t="s">
        <v>8</v>
      </c>
      <c r="I606" s="4">
        <v>37</v>
      </c>
      <c r="J606" s="4" t="str" cm="1">
        <f t="array" ref="J606">_xlfn.IFS(I606&lt;30,"Young Adult", I606&lt;50,"Adult",I606 &gt;=50,"Seniors")</f>
        <v>Adult</v>
      </c>
      <c r="K606" s="4" t="s">
        <v>4</v>
      </c>
      <c r="L606" s="4">
        <v>2</v>
      </c>
      <c r="M606" s="5">
        <v>500</v>
      </c>
      <c r="N606">
        <f>L606*M606</f>
        <v>1000</v>
      </c>
      <c r="O606" s="15">
        <f>N606*$R$3</f>
        <v>15</v>
      </c>
    </row>
    <row r="607" spans="1:15">
      <c r="A607" s="2">
        <v>606</v>
      </c>
      <c r="B607" s="4">
        <f>YEAR(F607)</f>
        <v>2023</v>
      </c>
      <c r="C607" s="4">
        <f>MONTH(F607)</f>
        <v>5</v>
      </c>
      <c r="D607" s="4">
        <f>DAY(F607)</f>
        <v>5</v>
      </c>
      <c r="E607" s="4" t="str">
        <f t="shared" si="9"/>
        <v>Friday</v>
      </c>
      <c r="F607" s="3">
        <v>45051</v>
      </c>
      <c r="G607" s="4" t="s">
        <v>638</v>
      </c>
      <c r="H607" s="4" t="s">
        <v>8</v>
      </c>
      <c r="I607" s="4">
        <v>22</v>
      </c>
      <c r="J607" s="4" t="str" cm="1">
        <f t="array" ref="J607">_xlfn.IFS(I607&lt;30,"Young Adult", I607&lt;50,"Adult",I607 &gt;=50,"Seniors")</f>
        <v>Young Adult</v>
      </c>
      <c r="K607" s="4" t="s">
        <v>4</v>
      </c>
      <c r="L607" s="4">
        <v>1</v>
      </c>
      <c r="M607" s="5">
        <v>50</v>
      </c>
      <c r="N607">
        <f>L607*M607</f>
        <v>50</v>
      </c>
      <c r="O607" s="15">
        <f>N607*$R$3</f>
        <v>0.75</v>
      </c>
    </row>
    <row r="608" spans="1:15">
      <c r="A608" s="2">
        <v>607</v>
      </c>
      <c r="B608" s="4">
        <f>YEAR(F608)</f>
        <v>2023</v>
      </c>
      <c r="C608" s="4">
        <f>MONTH(F608)</f>
        <v>3</v>
      </c>
      <c r="D608" s="4">
        <f>DAY(F608)</f>
        <v>17</v>
      </c>
      <c r="E608" s="4" t="str">
        <f t="shared" si="9"/>
        <v>Friday</v>
      </c>
      <c r="F608" s="3">
        <v>45002</v>
      </c>
      <c r="G608" s="4" t="s">
        <v>639</v>
      </c>
      <c r="H608" s="4" t="s">
        <v>8</v>
      </c>
      <c r="I608" s="4">
        <v>54</v>
      </c>
      <c r="J608" s="4" t="str" cm="1">
        <f t="array" ref="J608">_xlfn.IFS(I608&lt;30,"Young Adult", I608&lt;50,"Adult",I608 &gt;=50,"Seniors")</f>
        <v>Seniors</v>
      </c>
      <c r="K608" s="4" t="s">
        <v>3</v>
      </c>
      <c r="L608" s="4">
        <v>3</v>
      </c>
      <c r="M608" s="5">
        <v>25</v>
      </c>
      <c r="N608">
        <f>L608*M608</f>
        <v>75</v>
      </c>
      <c r="O608" s="15">
        <f>N608*$R$3</f>
        <v>1.125</v>
      </c>
    </row>
    <row r="609" spans="1:15">
      <c r="A609" s="2">
        <v>608</v>
      </c>
      <c r="B609" s="4">
        <f>YEAR(F609)</f>
        <v>2023</v>
      </c>
      <c r="C609" s="4">
        <f>MONTH(F609)</f>
        <v>12</v>
      </c>
      <c r="D609" s="4">
        <f>DAY(F609)</f>
        <v>2</v>
      </c>
      <c r="E609" s="4" t="str">
        <f t="shared" si="9"/>
        <v>Saturday</v>
      </c>
      <c r="F609" s="3">
        <v>45262</v>
      </c>
      <c r="G609" s="4" t="s">
        <v>640</v>
      </c>
      <c r="H609" s="4" t="s">
        <v>7</v>
      </c>
      <c r="I609" s="4">
        <v>55</v>
      </c>
      <c r="J609" s="4" t="str" cm="1">
        <f t="array" ref="J609">_xlfn.IFS(I609&lt;30,"Young Adult", I609&lt;50,"Adult",I609 &gt;=50,"Seniors")</f>
        <v>Seniors</v>
      </c>
      <c r="K609" s="4" t="s">
        <v>4</v>
      </c>
      <c r="L609" s="4">
        <v>3</v>
      </c>
      <c r="M609" s="5">
        <v>500</v>
      </c>
      <c r="N609">
        <f>L609*M609</f>
        <v>1500</v>
      </c>
      <c r="O609" s="15">
        <f>N609*$R$3</f>
        <v>22.5</v>
      </c>
    </row>
    <row r="610" spans="1:15">
      <c r="A610" s="2">
        <v>609</v>
      </c>
      <c r="B610" s="4">
        <f>YEAR(F610)</f>
        <v>2023</v>
      </c>
      <c r="C610" s="4">
        <f>MONTH(F610)</f>
        <v>12</v>
      </c>
      <c r="D610" s="4">
        <f>DAY(F610)</f>
        <v>19</v>
      </c>
      <c r="E610" s="4" t="str">
        <f t="shared" si="9"/>
        <v>Tuesday</v>
      </c>
      <c r="F610" s="3">
        <v>45279</v>
      </c>
      <c r="G610" s="4" t="s">
        <v>641</v>
      </c>
      <c r="H610" s="4" t="s">
        <v>7</v>
      </c>
      <c r="I610" s="4">
        <v>47</v>
      </c>
      <c r="J610" s="4" t="str" cm="1">
        <f t="array" ref="J610">_xlfn.IFS(I610&lt;30,"Young Adult", I610&lt;50,"Adult",I610 &gt;=50,"Seniors")</f>
        <v>Adult</v>
      </c>
      <c r="K610" s="4" t="s">
        <v>3</v>
      </c>
      <c r="L610" s="4">
        <v>2</v>
      </c>
      <c r="M610" s="5">
        <v>50</v>
      </c>
      <c r="N610">
        <f>L610*M610</f>
        <v>100</v>
      </c>
      <c r="O610" s="15">
        <f>N610*$R$3</f>
        <v>1.5</v>
      </c>
    </row>
    <row r="611" spans="1:15">
      <c r="A611" s="2">
        <v>610</v>
      </c>
      <c r="B611" s="4">
        <f>YEAR(F611)</f>
        <v>2023</v>
      </c>
      <c r="C611" s="4">
        <f>MONTH(F611)</f>
        <v>1</v>
      </c>
      <c r="D611" s="4">
        <f>DAY(F611)</f>
        <v>3</v>
      </c>
      <c r="E611" s="4" t="str">
        <f t="shared" si="9"/>
        <v>Tuesday</v>
      </c>
      <c r="F611" s="3">
        <v>44929</v>
      </c>
      <c r="G611" s="4" t="s">
        <v>642</v>
      </c>
      <c r="H611" s="4" t="s">
        <v>7</v>
      </c>
      <c r="I611" s="4">
        <v>26</v>
      </c>
      <c r="J611" s="4" t="str" cm="1">
        <f t="array" ref="J611">_xlfn.IFS(I611&lt;30,"Young Adult", I611&lt;50,"Adult",I611 &gt;=50,"Seniors")</f>
        <v>Young Adult</v>
      </c>
      <c r="K611" s="4" t="s">
        <v>2</v>
      </c>
      <c r="L611" s="4">
        <v>2</v>
      </c>
      <c r="M611" s="5">
        <v>300</v>
      </c>
      <c r="N611">
        <f>L611*M611</f>
        <v>600</v>
      </c>
      <c r="O611" s="15">
        <f>N611*$R$3</f>
        <v>9</v>
      </c>
    </row>
    <row r="612" spans="1:15">
      <c r="A612" s="2">
        <v>611</v>
      </c>
      <c r="B612" s="4">
        <f>YEAR(F612)</f>
        <v>2023</v>
      </c>
      <c r="C612" s="4">
        <f>MONTH(F612)</f>
        <v>2</v>
      </c>
      <c r="D612" s="4">
        <f>DAY(F612)</f>
        <v>24</v>
      </c>
      <c r="E612" s="4" t="str">
        <f t="shared" si="9"/>
        <v>Friday</v>
      </c>
      <c r="F612" s="3">
        <v>44981</v>
      </c>
      <c r="G612" s="4" t="s">
        <v>643</v>
      </c>
      <c r="H612" s="4" t="s">
        <v>8</v>
      </c>
      <c r="I612" s="4">
        <v>51</v>
      </c>
      <c r="J612" s="4" t="str" cm="1">
        <f t="array" ref="J612">_xlfn.IFS(I612&lt;30,"Young Adult", I612&lt;50,"Adult",I612 &gt;=50,"Seniors")</f>
        <v>Seniors</v>
      </c>
      <c r="K612" s="4" t="s">
        <v>2</v>
      </c>
      <c r="L612" s="4">
        <v>3</v>
      </c>
      <c r="M612" s="5">
        <v>500</v>
      </c>
      <c r="N612">
        <f>L612*M612</f>
        <v>1500</v>
      </c>
      <c r="O612" s="15">
        <f>N612*$R$3</f>
        <v>22.5</v>
      </c>
    </row>
    <row r="613" spans="1:15">
      <c r="A613" s="2">
        <v>612</v>
      </c>
      <c r="B613" s="4">
        <f>YEAR(F613)</f>
        <v>2023</v>
      </c>
      <c r="C613" s="4">
        <f>MONTH(F613)</f>
        <v>8</v>
      </c>
      <c r="D613" s="4">
        <f>DAY(F613)</f>
        <v>6</v>
      </c>
      <c r="E613" s="4" t="str">
        <f t="shared" si="9"/>
        <v>Sunday</v>
      </c>
      <c r="F613" s="3">
        <v>45144</v>
      </c>
      <c r="G613" s="4" t="s">
        <v>644</v>
      </c>
      <c r="H613" s="4" t="s">
        <v>7</v>
      </c>
      <c r="I613" s="4">
        <v>61</v>
      </c>
      <c r="J613" s="4" t="str" cm="1">
        <f t="array" ref="J613">_xlfn.IFS(I613&lt;30,"Young Adult", I613&lt;50,"Adult",I613 &gt;=50,"Seniors")</f>
        <v>Seniors</v>
      </c>
      <c r="K613" s="4" t="s">
        <v>4</v>
      </c>
      <c r="L613" s="4">
        <v>1</v>
      </c>
      <c r="M613" s="5">
        <v>500</v>
      </c>
      <c r="N613">
        <f>L613*M613</f>
        <v>500</v>
      </c>
      <c r="O613" s="15">
        <f>N613*$R$3</f>
        <v>7.5</v>
      </c>
    </row>
    <row r="614" spans="1:15">
      <c r="A614" s="2">
        <v>613</v>
      </c>
      <c r="B614" s="4">
        <f>YEAR(F614)</f>
        <v>2023</v>
      </c>
      <c r="C614" s="4">
        <f>MONTH(F614)</f>
        <v>4</v>
      </c>
      <c r="D614" s="4">
        <f>DAY(F614)</f>
        <v>23</v>
      </c>
      <c r="E614" s="4" t="str">
        <f t="shared" si="9"/>
        <v>Sunday</v>
      </c>
      <c r="F614" s="3">
        <v>45039</v>
      </c>
      <c r="G614" s="4" t="s">
        <v>645</v>
      </c>
      <c r="H614" s="4" t="s">
        <v>7</v>
      </c>
      <c r="I614" s="4">
        <v>52</v>
      </c>
      <c r="J614" s="4" t="str" cm="1">
        <f t="array" ref="J614">_xlfn.IFS(I614&lt;30,"Young Adult", I614&lt;50,"Adult",I614 &gt;=50,"Seniors")</f>
        <v>Seniors</v>
      </c>
      <c r="K614" s="4" t="s">
        <v>3</v>
      </c>
      <c r="L614" s="4">
        <v>3</v>
      </c>
      <c r="M614" s="5">
        <v>30</v>
      </c>
      <c r="N614">
        <f>L614*M614</f>
        <v>90</v>
      </c>
      <c r="O614" s="15">
        <f>N614*$R$3</f>
        <v>1.3499999999999999</v>
      </c>
    </row>
    <row r="615" spans="1:15">
      <c r="A615" s="2">
        <v>614</v>
      </c>
      <c r="B615" s="4">
        <f>YEAR(F615)</f>
        <v>2023</v>
      </c>
      <c r="C615" s="4">
        <f>MONTH(F615)</f>
        <v>4</v>
      </c>
      <c r="D615" s="4">
        <f>DAY(F615)</f>
        <v>1</v>
      </c>
      <c r="E615" s="4" t="str">
        <f t="shared" si="9"/>
        <v>Saturday</v>
      </c>
      <c r="F615" s="3">
        <v>45017</v>
      </c>
      <c r="G615" s="4" t="s">
        <v>646</v>
      </c>
      <c r="H615" s="4" t="s">
        <v>7</v>
      </c>
      <c r="I615" s="4">
        <v>39</v>
      </c>
      <c r="J615" s="4" t="str" cm="1">
        <f t="array" ref="J615">_xlfn.IFS(I615&lt;30,"Young Adult", I615&lt;50,"Adult",I615 &gt;=50,"Seniors")</f>
        <v>Adult</v>
      </c>
      <c r="K615" s="4" t="s">
        <v>2</v>
      </c>
      <c r="L615" s="4">
        <v>4</v>
      </c>
      <c r="M615" s="5">
        <v>300</v>
      </c>
      <c r="N615">
        <f>L615*M615</f>
        <v>1200</v>
      </c>
      <c r="O615" s="15">
        <f>N615*$R$3</f>
        <v>18</v>
      </c>
    </row>
    <row r="616" spans="1:15">
      <c r="A616" s="2">
        <v>615</v>
      </c>
      <c r="B616" s="4">
        <f>YEAR(F616)</f>
        <v>2023</v>
      </c>
      <c r="C616" s="4">
        <f>MONTH(F616)</f>
        <v>12</v>
      </c>
      <c r="D616" s="4">
        <f>DAY(F616)</f>
        <v>23</v>
      </c>
      <c r="E616" s="4" t="str">
        <f t="shared" si="9"/>
        <v>Saturday</v>
      </c>
      <c r="F616" s="3">
        <v>45283</v>
      </c>
      <c r="G616" s="4" t="s">
        <v>647</v>
      </c>
      <c r="H616" s="4" t="s">
        <v>7</v>
      </c>
      <c r="I616" s="4">
        <v>61</v>
      </c>
      <c r="J616" s="4" t="str" cm="1">
        <f t="array" ref="J616">_xlfn.IFS(I616&lt;30,"Young Adult", I616&lt;50,"Adult",I616 &gt;=50,"Seniors")</f>
        <v>Seniors</v>
      </c>
      <c r="K616" s="4" t="s">
        <v>3</v>
      </c>
      <c r="L616" s="4">
        <v>4</v>
      </c>
      <c r="M616" s="5">
        <v>25</v>
      </c>
      <c r="N616">
        <f>L616*M616</f>
        <v>100</v>
      </c>
      <c r="O616" s="15">
        <f>N616*$R$3</f>
        <v>1.5</v>
      </c>
    </row>
    <row r="617" spans="1:15">
      <c r="A617" s="2">
        <v>616</v>
      </c>
      <c r="B617" s="4">
        <f>YEAR(F617)</f>
        <v>2023</v>
      </c>
      <c r="C617" s="4">
        <f>MONTH(F617)</f>
        <v>9</v>
      </c>
      <c r="D617" s="4">
        <f>DAY(F617)</f>
        <v>23</v>
      </c>
      <c r="E617" s="4" t="str">
        <f t="shared" si="9"/>
        <v>Saturday</v>
      </c>
      <c r="F617" s="3">
        <v>45192</v>
      </c>
      <c r="G617" s="4" t="s">
        <v>648</v>
      </c>
      <c r="H617" s="4" t="s">
        <v>8</v>
      </c>
      <c r="I617" s="4">
        <v>41</v>
      </c>
      <c r="J617" s="4" t="str" cm="1">
        <f t="array" ref="J617">_xlfn.IFS(I617&lt;30,"Young Adult", I617&lt;50,"Adult",I617 &gt;=50,"Seniors")</f>
        <v>Adult</v>
      </c>
      <c r="K617" s="4" t="s">
        <v>3</v>
      </c>
      <c r="L617" s="4">
        <v>2</v>
      </c>
      <c r="M617" s="5">
        <v>50</v>
      </c>
      <c r="N617">
        <f>L617*M617</f>
        <v>100</v>
      </c>
      <c r="O617" s="15">
        <f>N617*$R$3</f>
        <v>1.5</v>
      </c>
    </row>
    <row r="618" spans="1:15">
      <c r="A618" s="2">
        <v>617</v>
      </c>
      <c r="B618" s="4">
        <f>YEAR(F618)</f>
        <v>2023</v>
      </c>
      <c r="C618" s="4">
        <f>MONTH(F618)</f>
        <v>8</v>
      </c>
      <c r="D618" s="4">
        <f>DAY(F618)</f>
        <v>26</v>
      </c>
      <c r="E618" s="4" t="str">
        <f t="shared" si="9"/>
        <v>Saturday</v>
      </c>
      <c r="F618" s="3">
        <v>45164</v>
      </c>
      <c r="G618" s="4" t="s">
        <v>649</v>
      </c>
      <c r="H618" s="4" t="s">
        <v>8</v>
      </c>
      <c r="I618" s="4">
        <v>34</v>
      </c>
      <c r="J618" s="4" t="str" cm="1">
        <f t="array" ref="J618">_xlfn.IFS(I618&lt;30,"Young Adult", I618&lt;50,"Adult",I618 &gt;=50,"Seniors")</f>
        <v>Adult</v>
      </c>
      <c r="K618" s="4" t="s">
        <v>4</v>
      </c>
      <c r="L618" s="4">
        <v>1</v>
      </c>
      <c r="M618" s="5">
        <v>30</v>
      </c>
      <c r="N618">
        <f>L618*M618</f>
        <v>30</v>
      </c>
      <c r="O618" s="15">
        <f>N618*$R$3</f>
        <v>0.44999999999999996</v>
      </c>
    </row>
    <row r="619" spans="1:15">
      <c r="A619" s="2">
        <v>618</v>
      </c>
      <c r="B619" s="4">
        <f>YEAR(F619)</f>
        <v>2023</v>
      </c>
      <c r="C619" s="4">
        <f>MONTH(F619)</f>
        <v>1</v>
      </c>
      <c r="D619" s="4">
        <f>DAY(F619)</f>
        <v>26</v>
      </c>
      <c r="E619" s="4" t="str">
        <f t="shared" si="9"/>
        <v>Thursday</v>
      </c>
      <c r="F619" s="3">
        <v>44952</v>
      </c>
      <c r="G619" s="4" t="s">
        <v>650</v>
      </c>
      <c r="H619" s="4" t="s">
        <v>7</v>
      </c>
      <c r="I619" s="4">
        <v>27</v>
      </c>
      <c r="J619" s="4" t="str" cm="1">
        <f t="array" ref="J619">_xlfn.IFS(I619&lt;30,"Young Adult", I619&lt;50,"Adult",I619 &gt;=50,"Seniors")</f>
        <v>Young Adult</v>
      </c>
      <c r="K619" s="4" t="s">
        <v>2</v>
      </c>
      <c r="L619" s="4">
        <v>1</v>
      </c>
      <c r="M619" s="5">
        <v>50</v>
      </c>
      <c r="N619">
        <f>L619*M619</f>
        <v>50</v>
      </c>
      <c r="O619" s="15">
        <f>N619*$R$3</f>
        <v>0.75</v>
      </c>
    </row>
    <row r="620" spans="1:15">
      <c r="A620" s="2">
        <v>619</v>
      </c>
      <c r="B620" s="4">
        <f>YEAR(F620)</f>
        <v>2023</v>
      </c>
      <c r="C620" s="4">
        <f>MONTH(F620)</f>
        <v>10</v>
      </c>
      <c r="D620" s="4">
        <f>DAY(F620)</f>
        <v>13</v>
      </c>
      <c r="E620" s="4" t="str">
        <f t="shared" si="9"/>
        <v>Friday</v>
      </c>
      <c r="F620" s="3">
        <v>45212</v>
      </c>
      <c r="G620" s="4" t="s">
        <v>651</v>
      </c>
      <c r="H620" s="4" t="s">
        <v>8</v>
      </c>
      <c r="I620" s="4">
        <v>47</v>
      </c>
      <c r="J620" s="4" t="str" cm="1">
        <f t="array" ref="J620">_xlfn.IFS(I620&lt;30,"Young Adult", I620&lt;50,"Adult",I620 &gt;=50,"Seniors")</f>
        <v>Adult</v>
      </c>
      <c r="K620" s="4" t="s">
        <v>4</v>
      </c>
      <c r="L620" s="4">
        <v>4</v>
      </c>
      <c r="M620" s="5">
        <v>25</v>
      </c>
      <c r="N620">
        <f>L620*M620</f>
        <v>100</v>
      </c>
      <c r="O620" s="15">
        <f>N620*$R$3</f>
        <v>1.5</v>
      </c>
    </row>
    <row r="621" spans="1:15">
      <c r="A621" s="2">
        <v>620</v>
      </c>
      <c r="B621" s="4">
        <f>YEAR(F621)</f>
        <v>2023</v>
      </c>
      <c r="C621" s="4">
        <f>MONTH(F621)</f>
        <v>5</v>
      </c>
      <c r="D621" s="4">
        <f>DAY(F621)</f>
        <v>8</v>
      </c>
      <c r="E621" s="4" t="str">
        <f t="shared" si="9"/>
        <v>Monday</v>
      </c>
      <c r="F621" s="3">
        <v>45054</v>
      </c>
      <c r="G621" s="4" t="s">
        <v>652</v>
      </c>
      <c r="H621" s="4" t="s">
        <v>8</v>
      </c>
      <c r="I621" s="4">
        <v>63</v>
      </c>
      <c r="J621" s="4" t="str" cm="1">
        <f t="array" ref="J621">_xlfn.IFS(I621&lt;30,"Young Adult", I621&lt;50,"Adult",I621 &gt;=50,"Seniors")</f>
        <v>Seniors</v>
      </c>
      <c r="K621" s="4" t="s">
        <v>4</v>
      </c>
      <c r="L621" s="4">
        <v>3</v>
      </c>
      <c r="M621" s="5">
        <v>25</v>
      </c>
      <c r="N621">
        <f>L621*M621</f>
        <v>75</v>
      </c>
      <c r="O621" s="15">
        <f>N621*$R$3</f>
        <v>1.125</v>
      </c>
    </row>
    <row r="622" spans="1:15">
      <c r="A622" s="2">
        <v>621</v>
      </c>
      <c r="B622" s="4">
        <f>YEAR(F622)</f>
        <v>2023</v>
      </c>
      <c r="C622" s="4">
        <f>MONTH(F622)</f>
        <v>3</v>
      </c>
      <c r="D622" s="4">
        <f>DAY(F622)</f>
        <v>4</v>
      </c>
      <c r="E622" s="4" t="str">
        <f t="shared" si="9"/>
        <v>Saturday</v>
      </c>
      <c r="F622" s="3">
        <v>44989</v>
      </c>
      <c r="G622" s="4" t="s">
        <v>653</v>
      </c>
      <c r="H622" s="4" t="s">
        <v>7</v>
      </c>
      <c r="I622" s="4">
        <v>40</v>
      </c>
      <c r="J622" s="4" t="str" cm="1">
        <f t="array" ref="J622">_xlfn.IFS(I622&lt;30,"Young Adult", I622&lt;50,"Adult",I622 &gt;=50,"Seniors")</f>
        <v>Adult</v>
      </c>
      <c r="K622" s="4" t="s">
        <v>2</v>
      </c>
      <c r="L622" s="4">
        <v>2</v>
      </c>
      <c r="M622" s="5">
        <v>500</v>
      </c>
      <c r="N622">
        <f>L622*M622</f>
        <v>1000</v>
      </c>
      <c r="O622" s="15">
        <f>N622*$R$3</f>
        <v>15</v>
      </c>
    </row>
    <row r="623" spans="1:15">
      <c r="A623" s="2">
        <v>622</v>
      </c>
      <c r="B623" s="4">
        <f>YEAR(F623)</f>
        <v>2023</v>
      </c>
      <c r="C623" s="4">
        <f>MONTH(F623)</f>
        <v>8</v>
      </c>
      <c r="D623" s="4">
        <f>DAY(F623)</f>
        <v>22</v>
      </c>
      <c r="E623" s="4" t="str">
        <f t="shared" si="9"/>
        <v>Tuesday</v>
      </c>
      <c r="F623" s="3">
        <v>45160</v>
      </c>
      <c r="G623" s="4" t="s">
        <v>654</v>
      </c>
      <c r="H623" s="4" t="s">
        <v>7</v>
      </c>
      <c r="I623" s="4">
        <v>49</v>
      </c>
      <c r="J623" s="4" t="str" cm="1">
        <f t="array" ref="J623">_xlfn.IFS(I623&lt;30,"Young Adult", I623&lt;50,"Adult",I623 &gt;=50,"Seniors")</f>
        <v>Adult</v>
      </c>
      <c r="K623" s="4" t="s">
        <v>2</v>
      </c>
      <c r="L623" s="4">
        <v>3</v>
      </c>
      <c r="M623" s="5">
        <v>25</v>
      </c>
      <c r="N623">
        <f>L623*M623</f>
        <v>75</v>
      </c>
      <c r="O623" s="15">
        <f>N623*$R$3</f>
        <v>1.125</v>
      </c>
    </row>
    <row r="624" spans="1:15">
      <c r="A624" s="2">
        <v>623</v>
      </c>
      <c r="B624" s="4">
        <f>YEAR(F624)</f>
        <v>2023</v>
      </c>
      <c r="C624" s="4">
        <f>MONTH(F624)</f>
        <v>3</v>
      </c>
      <c r="D624" s="4">
        <f>DAY(F624)</f>
        <v>10</v>
      </c>
      <c r="E624" s="4" t="str">
        <f t="shared" si="9"/>
        <v>Friday</v>
      </c>
      <c r="F624" s="3">
        <v>44995</v>
      </c>
      <c r="G624" s="4" t="s">
        <v>655</v>
      </c>
      <c r="H624" s="4" t="s">
        <v>8</v>
      </c>
      <c r="I624" s="4">
        <v>34</v>
      </c>
      <c r="J624" s="4" t="str" cm="1">
        <f t="array" ref="J624">_xlfn.IFS(I624&lt;30,"Young Adult", I624&lt;50,"Adult",I624 &gt;=50,"Seniors")</f>
        <v>Adult</v>
      </c>
      <c r="K624" s="4" t="s">
        <v>3</v>
      </c>
      <c r="L624" s="4">
        <v>3</v>
      </c>
      <c r="M624" s="5">
        <v>50</v>
      </c>
      <c r="N624">
        <f>L624*M624</f>
        <v>150</v>
      </c>
      <c r="O624" s="15">
        <f>N624*$R$3</f>
        <v>2.25</v>
      </c>
    </row>
    <row r="625" spans="1:15">
      <c r="A625" s="2">
        <v>624</v>
      </c>
      <c r="B625" s="4">
        <f>YEAR(F625)</f>
        <v>2023</v>
      </c>
      <c r="C625" s="4">
        <f>MONTH(F625)</f>
        <v>8</v>
      </c>
      <c r="D625" s="4">
        <f>DAY(F625)</f>
        <v>26</v>
      </c>
      <c r="E625" s="4" t="str">
        <f t="shared" si="9"/>
        <v>Saturday</v>
      </c>
      <c r="F625" s="3">
        <v>45164</v>
      </c>
      <c r="G625" s="4" t="s">
        <v>656</v>
      </c>
      <c r="H625" s="4" t="s">
        <v>7</v>
      </c>
      <c r="I625" s="4">
        <v>34</v>
      </c>
      <c r="J625" s="4" t="str" cm="1">
        <f t="array" ref="J625">_xlfn.IFS(I625&lt;30,"Young Adult", I625&lt;50,"Adult",I625 &gt;=50,"Seniors")</f>
        <v>Adult</v>
      </c>
      <c r="K625" s="4" t="s">
        <v>2</v>
      </c>
      <c r="L625" s="4">
        <v>3</v>
      </c>
      <c r="M625" s="5">
        <v>300</v>
      </c>
      <c r="N625">
        <f>L625*M625</f>
        <v>900</v>
      </c>
      <c r="O625" s="15">
        <f>N625*$R$3</f>
        <v>13.5</v>
      </c>
    </row>
    <row r="626" spans="1:15">
      <c r="A626" s="2">
        <v>625</v>
      </c>
      <c r="B626" s="4">
        <f>YEAR(F626)</f>
        <v>2023</v>
      </c>
      <c r="C626" s="4">
        <f>MONTH(F626)</f>
        <v>12</v>
      </c>
      <c r="D626" s="4">
        <f>DAY(F626)</f>
        <v>8</v>
      </c>
      <c r="E626" s="4" t="str">
        <f t="shared" si="9"/>
        <v>Friday</v>
      </c>
      <c r="F626" s="3">
        <v>45268</v>
      </c>
      <c r="G626" s="4" t="s">
        <v>657</v>
      </c>
      <c r="H626" s="4" t="s">
        <v>8</v>
      </c>
      <c r="I626" s="4">
        <v>31</v>
      </c>
      <c r="J626" s="4" t="str" cm="1">
        <f t="array" ref="J626">_xlfn.IFS(I626&lt;30,"Young Adult", I626&lt;50,"Adult",I626 &gt;=50,"Seniors")</f>
        <v>Adult</v>
      </c>
      <c r="K626" s="4" t="s">
        <v>3</v>
      </c>
      <c r="L626" s="4">
        <v>1</v>
      </c>
      <c r="M626" s="5">
        <v>300</v>
      </c>
      <c r="N626">
        <f>L626*M626</f>
        <v>300</v>
      </c>
      <c r="O626" s="15">
        <f>N626*$R$3</f>
        <v>4.5</v>
      </c>
    </row>
    <row r="627" spans="1:15">
      <c r="A627" s="2">
        <v>626</v>
      </c>
      <c r="B627" s="4">
        <f>YEAR(F627)</f>
        <v>2023</v>
      </c>
      <c r="C627" s="4">
        <f>MONTH(F627)</f>
        <v>9</v>
      </c>
      <c r="D627" s="4">
        <f>DAY(F627)</f>
        <v>29</v>
      </c>
      <c r="E627" s="4" t="str">
        <f t="shared" si="9"/>
        <v>Friday</v>
      </c>
      <c r="F627" s="3">
        <v>45198</v>
      </c>
      <c r="G627" s="4" t="s">
        <v>658</v>
      </c>
      <c r="H627" s="4" t="s">
        <v>7</v>
      </c>
      <c r="I627" s="4">
        <v>26</v>
      </c>
      <c r="J627" s="4" t="str" cm="1">
        <f t="array" ref="J627">_xlfn.IFS(I627&lt;30,"Young Adult", I627&lt;50,"Adult",I627 &gt;=50,"Seniors")</f>
        <v>Young Adult</v>
      </c>
      <c r="K627" s="4" t="s">
        <v>3</v>
      </c>
      <c r="L627" s="4">
        <v>4</v>
      </c>
      <c r="M627" s="5">
        <v>500</v>
      </c>
      <c r="N627">
        <f>L627*M627</f>
        <v>2000</v>
      </c>
      <c r="O627" s="15">
        <f>N627*$R$3</f>
        <v>30</v>
      </c>
    </row>
    <row r="628" spans="1:15">
      <c r="A628" s="2">
        <v>627</v>
      </c>
      <c r="B628" s="4">
        <f>YEAR(F628)</f>
        <v>2023</v>
      </c>
      <c r="C628" s="4">
        <f>MONTH(F628)</f>
        <v>10</v>
      </c>
      <c r="D628" s="4">
        <f>DAY(F628)</f>
        <v>14</v>
      </c>
      <c r="E628" s="4" t="str">
        <f t="shared" si="9"/>
        <v>Saturday</v>
      </c>
      <c r="F628" s="3">
        <v>45213</v>
      </c>
      <c r="G628" s="4" t="s">
        <v>659</v>
      </c>
      <c r="H628" s="4" t="s">
        <v>8</v>
      </c>
      <c r="I628" s="4">
        <v>57</v>
      </c>
      <c r="J628" s="4" t="str" cm="1">
        <f t="array" ref="J628">_xlfn.IFS(I628&lt;30,"Young Adult", I628&lt;50,"Adult",I628 &gt;=50,"Seniors")</f>
        <v>Seniors</v>
      </c>
      <c r="K628" s="4" t="s">
        <v>3</v>
      </c>
      <c r="L628" s="4">
        <v>1</v>
      </c>
      <c r="M628" s="5">
        <v>50</v>
      </c>
      <c r="N628">
        <f>L628*M628</f>
        <v>50</v>
      </c>
      <c r="O628" s="15">
        <f>N628*$R$3</f>
        <v>0.75</v>
      </c>
    </row>
    <row r="629" spans="1:15">
      <c r="A629" s="2">
        <v>628</v>
      </c>
      <c r="B629" s="4">
        <f>YEAR(F629)</f>
        <v>2023</v>
      </c>
      <c r="C629" s="4">
        <f>MONTH(F629)</f>
        <v>11</v>
      </c>
      <c r="D629" s="4">
        <f>DAY(F629)</f>
        <v>1</v>
      </c>
      <c r="E629" s="4" t="str">
        <f t="shared" si="9"/>
        <v>Wednesday</v>
      </c>
      <c r="F629" s="3">
        <v>45231</v>
      </c>
      <c r="G629" s="4" t="s">
        <v>660</v>
      </c>
      <c r="H629" s="4" t="s">
        <v>7</v>
      </c>
      <c r="I629" s="4">
        <v>19</v>
      </c>
      <c r="J629" s="4" t="str" cm="1">
        <f t="array" ref="J629">_xlfn.IFS(I629&lt;30,"Young Adult", I629&lt;50,"Adult",I629 &gt;=50,"Seniors")</f>
        <v>Young Adult</v>
      </c>
      <c r="K629" s="4" t="s">
        <v>2</v>
      </c>
      <c r="L629" s="4">
        <v>4</v>
      </c>
      <c r="M629" s="5">
        <v>50</v>
      </c>
      <c r="N629">
        <f>L629*M629</f>
        <v>200</v>
      </c>
      <c r="O629" s="15">
        <f>N629*$R$3</f>
        <v>3</v>
      </c>
    </row>
    <row r="630" spans="1:15">
      <c r="A630" s="2">
        <v>629</v>
      </c>
      <c r="B630" s="4">
        <f>YEAR(F630)</f>
        <v>2023</v>
      </c>
      <c r="C630" s="4">
        <f>MONTH(F630)</f>
        <v>6</v>
      </c>
      <c r="D630" s="4">
        <f>DAY(F630)</f>
        <v>12</v>
      </c>
      <c r="E630" s="4" t="str">
        <f t="shared" si="9"/>
        <v>Monday</v>
      </c>
      <c r="F630" s="3">
        <v>45089</v>
      </c>
      <c r="G630" s="4" t="s">
        <v>661</v>
      </c>
      <c r="H630" s="4" t="s">
        <v>8</v>
      </c>
      <c r="I630" s="4">
        <v>62</v>
      </c>
      <c r="J630" s="4" t="str" cm="1">
        <f t="array" ref="J630">_xlfn.IFS(I630&lt;30,"Young Adult", I630&lt;50,"Adult",I630 &gt;=50,"Seniors")</f>
        <v>Seniors</v>
      </c>
      <c r="K630" s="4" t="s">
        <v>4</v>
      </c>
      <c r="L630" s="4">
        <v>2</v>
      </c>
      <c r="M630" s="5">
        <v>25</v>
      </c>
      <c r="N630">
        <f>L630*M630</f>
        <v>50</v>
      </c>
      <c r="O630" s="15">
        <f>N630*$R$3</f>
        <v>0.75</v>
      </c>
    </row>
    <row r="631" spans="1:15">
      <c r="A631" s="2">
        <v>630</v>
      </c>
      <c r="B631" s="4">
        <f>YEAR(F631)</f>
        <v>2023</v>
      </c>
      <c r="C631" s="4">
        <f>MONTH(F631)</f>
        <v>8</v>
      </c>
      <c r="D631" s="4">
        <f>DAY(F631)</f>
        <v>15</v>
      </c>
      <c r="E631" s="4" t="str">
        <f t="shared" si="9"/>
        <v>Tuesday</v>
      </c>
      <c r="F631" s="3">
        <v>45153</v>
      </c>
      <c r="G631" s="4" t="s">
        <v>662</v>
      </c>
      <c r="H631" s="4" t="s">
        <v>8</v>
      </c>
      <c r="I631" s="4">
        <v>42</v>
      </c>
      <c r="J631" s="4" t="str" cm="1">
        <f t="array" ref="J631">_xlfn.IFS(I631&lt;30,"Young Adult", I631&lt;50,"Adult",I631 &gt;=50,"Seniors")</f>
        <v>Adult</v>
      </c>
      <c r="K631" s="4" t="s">
        <v>3</v>
      </c>
      <c r="L631" s="4">
        <v>2</v>
      </c>
      <c r="M631" s="5">
        <v>50</v>
      </c>
      <c r="N631">
        <f>L631*M631</f>
        <v>100</v>
      </c>
      <c r="O631" s="15">
        <f>N631*$R$3</f>
        <v>1.5</v>
      </c>
    </row>
    <row r="632" spans="1:15">
      <c r="A632" s="2">
        <v>631</v>
      </c>
      <c r="B632" s="4">
        <f>YEAR(F632)</f>
        <v>2023</v>
      </c>
      <c r="C632" s="4">
        <f>MONTH(F632)</f>
        <v>11</v>
      </c>
      <c r="D632" s="4">
        <f>DAY(F632)</f>
        <v>10</v>
      </c>
      <c r="E632" s="4" t="str">
        <f t="shared" si="9"/>
        <v>Friday</v>
      </c>
      <c r="F632" s="3">
        <v>45240</v>
      </c>
      <c r="G632" s="4" t="s">
        <v>663</v>
      </c>
      <c r="H632" s="4" t="s">
        <v>8</v>
      </c>
      <c r="I632" s="4">
        <v>56</v>
      </c>
      <c r="J632" s="4" t="str" cm="1">
        <f t="array" ref="J632">_xlfn.IFS(I632&lt;30,"Young Adult", I632&lt;50,"Adult",I632 &gt;=50,"Seniors")</f>
        <v>Seniors</v>
      </c>
      <c r="K632" s="4" t="s">
        <v>4</v>
      </c>
      <c r="L632" s="4">
        <v>3</v>
      </c>
      <c r="M632" s="5">
        <v>30</v>
      </c>
      <c r="N632">
        <f>L632*M632</f>
        <v>90</v>
      </c>
      <c r="O632" s="15">
        <f>N632*$R$3</f>
        <v>1.3499999999999999</v>
      </c>
    </row>
    <row r="633" spans="1:15">
      <c r="A633" s="2">
        <v>632</v>
      </c>
      <c r="B633" s="4">
        <f>YEAR(F633)</f>
        <v>2023</v>
      </c>
      <c r="C633" s="4">
        <f>MONTH(F633)</f>
        <v>9</v>
      </c>
      <c r="D633" s="4">
        <f>DAY(F633)</f>
        <v>16</v>
      </c>
      <c r="E633" s="4" t="str">
        <f t="shared" si="9"/>
        <v>Saturday</v>
      </c>
      <c r="F633" s="3">
        <v>45185</v>
      </c>
      <c r="G633" s="4" t="s">
        <v>664</v>
      </c>
      <c r="H633" s="4" t="s">
        <v>7</v>
      </c>
      <c r="I633" s="4">
        <v>26</v>
      </c>
      <c r="J633" s="4" t="str" cm="1">
        <f t="array" ref="J633">_xlfn.IFS(I633&lt;30,"Young Adult", I633&lt;50,"Adult",I633 &gt;=50,"Seniors")</f>
        <v>Young Adult</v>
      </c>
      <c r="K633" s="4" t="s">
        <v>4</v>
      </c>
      <c r="L633" s="4">
        <v>4</v>
      </c>
      <c r="M633" s="5">
        <v>25</v>
      </c>
      <c r="N633">
        <f>L633*M633</f>
        <v>100</v>
      </c>
      <c r="O633" s="15">
        <f>N633*$R$3</f>
        <v>1.5</v>
      </c>
    </row>
    <row r="634" spans="1:15">
      <c r="A634" s="2">
        <v>633</v>
      </c>
      <c r="B634" s="4">
        <f>YEAR(F634)</f>
        <v>2023</v>
      </c>
      <c r="C634" s="4">
        <f>MONTH(F634)</f>
        <v>8</v>
      </c>
      <c r="D634" s="4">
        <f>DAY(F634)</f>
        <v>7</v>
      </c>
      <c r="E634" s="4" t="str">
        <f t="shared" si="9"/>
        <v>Monday</v>
      </c>
      <c r="F634" s="3">
        <v>45145</v>
      </c>
      <c r="G634" s="4" t="s">
        <v>665</v>
      </c>
      <c r="H634" s="4" t="s">
        <v>8</v>
      </c>
      <c r="I634" s="4">
        <v>39</v>
      </c>
      <c r="J634" s="4" t="str" cm="1">
        <f t="array" ref="J634">_xlfn.IFS(I634&lt;30,"Young Adult", I634&lt;50,"Adult",I634 &gt;=50,"Seniors")</f>
        <v>Adult</v>
      </c>
      <c r="K634" s="4" t="s">
        <v>2</v>
      </c>
      <c r="L634" s="4">
        <v>4</v>
      </c>
      <c r="M634" s="5">
        <v>30</v>
      </c>
      <c r="N634">
        <f>L634*M634</f>
        <v>120</v>
      </c>
      <c r="O634" s="15">
        <f>N634*$R$3</f>
        <v>1.7999999999999998</v>
      </c>
    </row>
    <row r="635" spans="1:15">
      <c r="A635" s="2">
        <v>634</v>
      </c>
      <c r="B635" s="4">
        <f>YEAR(F635)</f>
        <v>2023</v>
      </c>
      <c r="C635" s="4">
        <f>MONTH(F635)</f>
        <v>10</v>
      </c>
      <c r="D635" s="4">
        <f>DAY(F635)</f>
        <v>8</v>
      </c>
      <c r="E635" s="4" t="str">
        <f t="shared" si="9"/>
        <v>Sunday</v>
      </c>
      <c r="F635" s="3">
        <v>45207</v>
      </c>
      <c r="G635" s="4" t="s">
        <v>666</v>
      </c>
      <c r="H635" s="4" t="s">
        <v>8</v>
      </c>
      <c r="I635" s="4">
        <v>60</v>
      </c>
      <c r="J635" s="4" t="str" cm="1">
        <f t="array" ref="J635">_xlfn.IFS(I635&lt;30,"Young Adult", I635&lt;50,"Adult",I635 &gt;=50,"Seniors")</f>
        <v>Seniors</v>
      </c>
      <c r="K635" s="4" t="s">
        <v>4</v>
      </c>
      <c r="L635" s="4">
        <v>4</v>
      </c>
      <c r="M635" s="5">
        <v>500</v>
      </c>
      <c r="N635">
        <f>L635*M635</f>
        <v>2000</v>
      </c>
      <c r="O635" s="15">
        <f>N635*$R$3</f>
        <v>30</v>
      </c>
    </row>
    <row r="636" spans="1:15">
      <c r="A636" s="2">
        <v>635</v>
      </c>
      <c r="B636" s="4">
        <f>YEAR(F636)</f>
        <v>2023</v>
      </c>
      <c r="C636" s="4">
        <f>MONTH(F636)</f>
        <v>8</v>
      </c>
      <c r="D636" s="4">
        <f>DAY(F636)</f>
        <v>17</v>
      </c>
      <c r="E636" s="4" t="str">
        <f t="shared" si="9"/>
        <v>Thursday</v>
      </c>
      <c r="F636" s="3">
        <v>45155</v>
      </c>
      <c r="G636" s="4" t="s">
        <v>667</v>
      </c>
      <c r="H636" s="4" t="s">
        <v>7</v>
      </c>
      <c r="I636" s="4">
        <v>63</v>
      </c>
      <c r="J636" s="4" t="str" cm="1">
        <f t="array" ref="J636">_xlfn.IFS(I636&lt;30,"Young Adult", I636&lt;50,"Adult",I636 &gt;=50,"Seniors")</f>
        <v>Seniors</v>
      </c>
      <c r="K636" s="4" t="s">
        <v>4</v>
      </c>
      <c r="L636" s="4">
        <v>3</v>
      </c>
      <c r="M636" s="5">
        <v>300</v>
      </c>
      <c r="N636">
        <f>L636*M636</f>
        <v>900</v>
      </c>
      <c r="O636" s="15">
        <f>N636*$R$3</f>
        <v>13.5</v>
      </c>
    </row>
    <row r="637" spans="1:15">
      <c r="A637" s="2">
        <v>636</v>
      </c>
      <c r="B637" s="4">
        <f>YEAR(F637)</f>
        <v>2023</v>
      </c>
      <c r="C637" s="4">
        <f>MONTH(F637)</f>
        <v>3</v>
      </c>
      <c r="D637" s="4">
        <f>DAY(F637)</f>
        <v>23</v>
      </c>
      <c r="E637" s="4" t="str">
        <f t="shared" si="9"/>
        <v>Thursday</v>
      </c>
      <c r="F637" s="3">
        <v>45008</v>
      </c>
      <c r="G637" s="4" t="s">
        <v>668</v>
      </c>
      <c r="H637" s="4" t="s">
        <v>7</v>
      </c>
      <c r="I637" s="4">
        <v>21</v>
      </c>
      <c r="J637" s="4" t="str" cm="1">
        <f t="array" ref="J637">_xlfn.IFS(I637&lt;30,"Young Adult", I637&lt;50,"Adult",I637 &gt;=50,"Seniors")</f>
        <v>Young Adult</v>
      </c>
      <c r="K637" s="4" t="s">
        <v>2</v>
      </c>
      <c r="L637" s="4">
        <v>3</v>
      </c>
      <c r="M637" s="5">
        <v>500</v>
      </c>
      <c r="N637">
        <f>L637*M637</f>
        <v>1500</v>
      </c>
      <c r="O637" s="15">
        <f>N637*$R$3</f>
        <v>22.5</v>
      </c>
    </row>
    <row r="638" spans="1:15">
      <c r="A638" s="2">
        <v>637</v>
      </c>
      <c r="B638" s="4">
        <f>YEAR(F638)</f>
        <v>2023</v>
      </c>
      <c r="C638" s="4">
        <f>MONTH(F638)</f>
        <v>9</v>
      </c>
      <c r="D638" s="4">
        <f>DAY(F638)</f>
        <v>1</v>
      </c>
      <c r="E638" s="4" t="str">
        <f t="shared" si="9"/>
        <v>Friday</v>
      </c>
      <c r="F638" s="3">
        <v>45170</v>
      </c>
      <c r="G638" s="4" t="s">
        <v>669</v>
      </c>
      <c r="H638" s="4" t="s">
        <v>8</v>
      </c>
      <c r="I638" s="4">
        <v>43</v>
      </c>
      <c r="J638" s="4" t="str" cm="1">
        <f t="array" ref="J638">_xlfn.IFS(I638&lt;30,"Young Adult", I638&lt;50,"Adult",I638 &gt;=50,"Seniors")</f>
        <v>Adult</v>
      </c>
      <c r="K638" s="4" t="s">
        <v>3</v>
      </c>
      <c r="L638" s="4">
        <v>2</v>
      </c>
      <c r="M638" s="5">
        <v>300</v>
      </c>
      <c r="N638">
        <f>L638*M638</f>
        <v>600</v>
      </c>
      <c r="O638" s="15">
        <f>N638*$R$3</f>
        <v>9</v>
      </c>
    </row>
    <row r="639" spans="1:15">
      <c r="A639" s="2">
        <v>638</v>
      </c>
      <c r="B639" s="4">
        <f>YEAR(F639)</f>
        <v>2023</v>
      </c>
      <c r="C639" s="4">
        <f>MONTH(F639)</f>
        <v>8</v>
      </c>
      <c r="D639" s="4">
        <f>DAY(F639)</f>
        <v>19</v>
      </c>
      <c r="E639" s="4" t="str">
        <f t="shared" si="9"/>
        <v>Saturday</v>
      </c>
      <c r="F639" s="3">
        <v>45157</v>
      </c>
      <c r="G639" s="4" t="s">
        <v>670</v>
      </c>
      <c r="H639" s="4" t="s">
        <v>8</v>
      </c>
      <c r="I639" s="4">
        <v>46</v>
      </c>
      <c r="J639" s="4" t="str" cm="1">
        <f t="array" ref="J639">_xlfn.IFS(I639&lt;30,"Young Adult", I639&lt;50,"Adult",I639 &gt;=50,"Seniors")</f>
        <v>Adult</v>
      </c>
      <c r="K639" s="4" t="s">
        <v>4</v>
      </c>
      <c r="L639" s="4">
        <v>1</v>
      </c>
      <c r="M639" s="5">
        <v>500</v>
      </c>
      <c r="N639">
        <f>L639*M639</f>
        <v>500</v>
      </c>
      <c r="O639" s="15">
        <f>N639*$R$3</f>
        <v>7.5</v>
      </c>
    </row>
    <row r="640" spans="1:15">
      <c r="A640" s="2">
        <v>639</v>
      </c>
      <c r="B640" s="4">
        <f>YEAR(F640)</f>
        <v>2023</v>
      </c>
      <c r="C640" s="4">
        <f>MONTH(F640)</f>
        <v>5</v>
      </c>
      <c r="D640" s="4">
        <f>DAY(F640)</f>
        <v>13</v>
      </c>
      <c r="E640" s="4" t="str">
        <f t="shared" si="9"/>
        <v>Saturday</v>
      </c>
      <c r="F640" s="3">
        <v>45059</v>
      </c>
      <c r="G640" s="4" t="s">
        <v>671</v>
      </c>
      <c r="H640" s="4" t="s">
        <v>7</v>
      </c>
      <c r="I640" s="4">
        <v>62</v>
      </c>
      <c r="J640" s="4" t="str" cm="1">
        <f t="array" ref="J640">_xlfn.IFS(I640&lt;30,"Young Adult", I640&lt;50,"Adult",I640 &gt;=50,"Seniors")</f>
        <v>Seniors</v>
      </c>
      <c r="K640" s="4" t="s">
        <v>2</v>
      </c>
      <c r="L640" s="4">
        <v>4</v>
      </c>
      <c r="M640" s="5">
        <v>50</v>
      </c>
      <c r="N640">
        <f>L640*M640</f>
        <v>200</v>
      </c>
      <c r="O640" s="15">
        <f>N640*$R$3</f>
        <v>3</v>
      </c>
    </row>
    <row r="641" spans="1:15">
      <c r="A641" s="2">
        <v>640</v>
      </c>
      <c r="B641" s="4">
        <f>YEAR(F641)</f>
        <v>2023</v>
      </c>
      <c r="C641" s="4">
        <f>MONTH(F641)</f>
        <v>5</v>
      </c>
      <c r="D641" s="4">
        <f>DAY(F641)</f>
        <v>7</v>
      </c>
      <c r="E641" s="4" t="str">
        <f t="shared" si="9"/>
        <v>Sunday</v>
      </c>
      <c r="F641" s="3">
        <v>45053</v>
      </c>
      <c r="G641" s="4" t="s">
        <v>672</v>
      </c>
      <c r="H641" s="4" t="s">
        <v>7</v>
      </c>
      <c r="I641" s="4">
        <v>51</v>
      </c>
      <c r="J641" s="4" t="str" cm="1">
        <f t="array" ref="J641">_xlfn.IFS(I641&lt;30,"Young Adult", I641&lt;50,"Adult",I641 &gt;=50,"Seniors")</f>
        <v>Seniors</v>
      </c>
      <c r="K641" s="4" t="s">
        <v>4</v>
      </c>
      <c r="L641" s="4">
        <v>4</v>
      </c>
      <c r="M641" s="5">
        <v>30</v>
      </c>
      <c r="N641">
        <f>L641*M641</f>
        <v>120</v>
      </c>
      <c r="O641" s="15">
        <f>N641*$R$3</f>
        <v>1.7999999999999998</v>
      </c>
    </row>
    <row r="642" spans="1:15">
      <c r="A642" s="2">
        <v>641</v>
      </c>
      <c r="B642" s="4">
        <f>YEAR(F642)</f>
        <v>2023</v>
      </c>
      <c r="C642" s="4">
        <f>MONTH(F642)</f>
        <v>11</v>
      </c>
      <c r="D642" s="4">
        <f>DAY(F642)</f>
        <v>23</v>
      </c>
      <c r="E642" s="4" t="str">
        <f t="shared" si="9"/>
        <v>Thursday</v>
      </c>
      <c r="F642" s="3">
        <v>45253</v>
      </c>
      <c r="G642" s="4" t="s">
        <v>673</v>
      </c>
      <c r="H642" s="4" t="s">
        <v>7</v>
      </c>
      <c r="I642" s="4">
        <v>40</v>
      </c>
      <c r="J642" s="4" t="str" cm="1">
        <f t="array" ref="J642">_xlfn.IFS(I642&lt;30,"Young Adult", I642&lt;50,"Adult",I642 &gt;=50,"Seniors")</f>
        <v>Adult</v>
      </c>
      <c r="K642" s="4" t="s">
        <v>4</v>
      </c>
      <c r="L642" s="4">
        <v>1</v>
      </c>
      <c r="M642" s="5">
        <v>300</v>
      </c>
      <c r="N642">
        <f>L642*M642</f>
        <v>300</v>
      </c>
      <c r="O642" s="15">
        <f>N642*$R$3</f>
        <v>4.5</v>
      </c>
    </row>
    <row r="643" spans="1:15">
      <c r="A643" s="2">
        <v>642</v>
      </c>
      <c r="B643" s="4">
        <f>YEAR(F643)</f>
        <v>2023</v>
      </c>
      <c r="C643" s="4">
        <f>MONTH(F643)</f>
        <v>5</v>
      </c>
      <c r="D643" s="4">
        <f>DAY(F643)</f>
        <v>22</v>
      </c>
      <c r="E643" s="4" t="str">
        <f t="shared" ref="E643:E706" si="10">TEXT(F643,"dddd")</f>
        <v>Monday</v>
      </c>
      <c r="F643" s="3">
        <v>45068</v>
      </c>
      <c r="G643" s="4" t="s">
        <v>674</v>
      </c>
      <c r="H643" s="4" t="s">
        <v>7</v>
      </c>
      <c r="I643" s="4">
        <v>54</v>
      </c>
      <c r="J643" s="4" t="str" cm="1">
        <f t="array" ref="J643">_xlfn.IFS(I643&lt;30,"Young Adult", I643&lt;50,"Adult",I643 &gt;=50,"Seniors")</f>
        <v>Seniors</v>
      </c>
      <c r="K643" s="4" t="s">
        <v>3</v>
      </c>
      <c r="L643" s="4">
        <v>4</v>
      </c>
      <c r="M643" s="5">
        <v>25</v>
      </c>
      <c r="N643">
        <f>L643*M643</f>
        <v>100</v>
      </c>
      <c r="O643" s="15">
        <f>N643*$R$3</f>
        <v>1.5</v>
      </c>
    </row>
    <row r="644" spans="1:15">
      <c r="A644" s="2">
        <v>643</v>
      </c>
      <c r="B644" s="4">
        <f>YEAR(F644)</f>
        <v>2023</v>
      </c>
      <c r="C644" s="4">
        <f>MONTH(F644)</f>
        <v>9</v>
      </c>
      <c r="D644" s="4">
        <f>DAY(F644)</f>
        <v>24</v>
      </c>
      <c r="E644" s="4" t="str">
        <f t="shared" si="10"/>
        <v>Sunday</v>
      </c>
      <c r="F644" s="3">
        <v>45193</v>
      </c>
      <c r="G644" s="4" t="s">
        <v>675</v>
      </c>
      <c r="H644" s="4" t="s">
        <v>7</v>
      </c>
      <c r="I644" s="4">
        <v>28</v>
      </c>
      <c r="J644" s="4" t="str" cm="1">
        <f t="array" ref="J644">_xlfn.IFS(I644&lt;30,"Young Adult", I644&lt;50,"Adult",I644 &gt;=50,"Seniors")</f>
        <v>Young Adult</v>
      </c>
      <c r="K644" s="4" t="s">
        <v>4</v>
      </c>
      <c r="L644" s="4">
        <v>3</v>
      </c>
      <c r="M644" s="5">
        <v>30</v>
      </c>
      <c r="N644">
        <f>L644*M644</f>
        <v>90</v>
      </c>
      <c r="O644" s="15">
        <f>N644*$R$3</f>
        <v>1.3499999999999999</v>
      </c>
    </row>
    <row r="645" spans="1:15">
      <c r="A645" s="2">
        <v>644</v>
      </c>
      <c r="B645" s="4">
        <f>YEAR(F645)</f>
        <v>2023</v>
      </c>
      <c r="C645" s="4">
        <f>MONTH(F645)</f>
        <v>9</v>
      </c>
      <c r="D645" s="4">
        <f>DAY(F645)</f>
        <v>6</v>
      </c>
      <c r="E645" s="4" t="str">
        <f t="shared" si="10"/>
        <v>Wednesday</v>
      </c>
      <c r="F645" s="3">
        <v>45175</v>
      </c>
      <c r="G645" s="4" t="s">
        <v>676</v>
      </c>
      <c r="H645" s="4" t="s">
        <v>8</v>
      </c>
      <c r="I645" s="4">
        <v>23</v>
      </c>
      <c r="J645" s="4" t="str" cm="1">
        <f t="array" ref="J645">_xlfn.IFS(I645&lt;30,"Young Adult", I645&lt;50,"Adult",I645 &gt;=50,"Seniors")</f>
        <v>Young Adult</v>
      </c>
      <c r="K645" s="4" t="s">
        <v>2</v>
      </c>
      <c r="L645" s="4">
        <v>3</v>
      </c>
      <c r="M645" s="5">
        <v>25</v>
      </c>
      <c r="N645">
        <f>L645*M645</f>
        <v>75</v>
      </c>
      <c r="O645" s="15">
        <f>N645*$R$3</f>
        <v>1.125</v>
      </c>
    </row>
    <row r="646" spans="1:15">
      <c r="A646" s="2">
        <v>645</v>
      </c>
      <c r="B646" s="4">
        <f>YEAR(F646)</f>
        <v>2023</v>
      </c>
      <c r="C646" s="4">
        <f>MONTH(F646)</f>
        <v>11</v>
      </c>
      <c r="D646" s="4">
        <f>DAY(F646)</f>
        <v>17</v>
      </c>
      <c r="E646" s="4" t="str">
        <f t="shared" si="10"/>
        <v>Friday</v>
      </c>
      <c r="F646" s="3">
        <v>45247</v>
      </c>
      <c r="G646" s="4" t="s">
        <v>677</v>
      </c>
      <c r="H646" s="4" t="s">
        <v>7</v>
      </c>
      <c r="I646" s="4">
        <v>35</v>
      </c>
      <c r="J646" s="4" t="str" cm="1">
        <f t="array" ref="J646">_xlfn.IFS(I646&lt;30,"Young Adult", I646&lt;50,"Adult",I646 &gt;=50,"Seniors")</f>
        <v>Adult</v>
      </c>
      <c r="K646" s="4" t="s">
        <v>4</v>
      </c>
      <c r="L646" s="4">
        <v>4</v>
      </c>
      <c r="M646" s="5">
        <v>30</v>
      </c>
      <c r="N646">
        <f>L646*M646</f>
        <v>120</v>
      </c>
      <c r="O646" s="15">
        <f>N646*$R$3</f>
        <v>1.7999999999999998</v>
      </c>
    </row>
    <row r="647" spans="1:15">
      <c r="A647" s="2">
        <v>646</v>
      </c>
      <c r="B647" s="4">
        <f>YEAR(F647)</f>
        <v>2023</v>
      </c>
      <c r="C647" s="4">
        <f>MONTH(F647)</f>
        <v>5</v>
      </c>
      <c r="D647" s="4">
        <f>DAY(F647)</f>
        <v>3</v>
      </c>
      <c r="E647" s="4" t="str">
        <f t="shared" si="10"/>
        <v>Wednesday</v>
      </c>
      <c r="F647" s="3">
        <v>45049</v>
      </c>
      <c r="G647" s="4" t="s">
        <v>678</v>
      </c>
      <c r="H647" s="4" t="s">
        <v>8</v>
      </c>
      <c r="I647" s="4">
        <v>38</v>
      </c>
      <c r="J647" s="4" t="str" cm="1">
        <f t="array" ref="J647">_xlfn.IFS(I647&lt;30,"Young Adult", I647&lt;50,"Adult",I647 &gt;=50,"Seniors")</f>
        <v>Adult</v>
      </c>
      <c r="K647" s="4" t="s">
        <v>3</v>
      </c>
      <c r="L647" s="4">
        <v>3</v>
      </c>
      <c r="M647" s="5">
        <v>30</v>
      </c>
      <c r="N647">
        <f>L647*M647</f>
        <v>90</v>
      </c>
      <c r="O647" s="15">
        <f>N647*$R$3</f>
        <v>1.3499999999999999</v>
      </c>
    </row>
    <row r="648" spans="1:15">
      <c r="A648" s="2">
        <v>647</v>
      </c>
      <c r="B648" s="4">
        <f>YEAR(F648)</f>
        <v>2023</v>
      </c>
      <c r="C648" s="4">
        <f>MONTH(F648)</f>
        <v>5</v>
      </c>
      <c r="D648" s="4">
        <f>DAY(F648)</f>
        <v>21</v>
      </c>
      <c r="E648" s="4" t="str">
        <f t="shared" si="10"/>
        <v>Sunday</v>
      </c>
      <c r="F648" s="3">
        <v>45067</v>
      </c>
      <c r="G648" s="4" t="s">
        <v>679</v>
      </c>
      <c r="H648" s="4" t="s">
        <v>8</v>
      </c>
      <c r="I648" s="4">
        <v>59</v>
      </c>
      <c r="J648" s="4" t="str" cm="1">
        <f t="array" ref="J648">_xlfn.IFS(I648&lt;30,"Young Adult", I648&lt;50,"Adult",I648 &gt;=50,"Seniors")</f>
        <v>Seniors</v>
      </c>
      <c r="K648" s="4" t="s">
        <v>3</v>
      </c>
      <c r="L648" s="4">
        <v>3</v>
      </c>
      <c r="M648" s="5">
        <v>500</v>
      </c>
      <c r="N648">
        <f>L648*M648</f>
        <v>1500</v>
      </c>
      <c r="O648" s="15">
        <f>N648*$R$3</f>
        <v>22.5</v>
      </c>
    </row>
    <row r="649" spans="1:15">
      <c r="A649" s="2">
        <v>648</v>
      </c>
      <c r="B649" s="4">
        <f>YEAR(F649)</f>
        <v>2023</v>
      </c>
      <c r="C649" s="4">
        <f>MONTH(F649)</f>
        <v>8</v>
      </c>
      <c r="D649" s="4">
        <f>DAY(F649)</f>
        <v>14</v>
      </c>
      <c r="E649" s="4" t="str">
        <f t="shared" si="10"/>
        <v>Monday</v>
      </c>
      <c r="F649" s="3">
        <v>45152</v>
      </c>
      <c r="G649" s="4" t="s">
        <v>680</v>
      </c>
      <c r="H649" s="4" t="s">
        <v>8</v>
      </c>
      <c r="I649" s="4">
        <v>53</v>
      </c>
      <c r="J649" s="4" t="str" cm="1">
        <f t="array" ref="J649">_xlfn.IFS(I649&lt;30,"Young Adult", I649&lt;50,"Adult",I649 &gt;=50,"Seniors")</f>
        <v>Seniors</v>
      </c>
      <c r="K649" s="4" t="s">
        <v>2</v>
      </c>
      <c r="L649" s="4">
        <v>4</v>
      </c>
      <c r="M649" s="5">
        <v>300</v>
      </c>
      <c r="N649">
        <f>L649*M649</f>
        <v>1200</v>
      </c>
      <c r="O649" s="15">
        <f>N649*$R$3</f>
        <v>18</v>
      </c>
    </row>
    <row r="650" spans="1:15">
      <c r="A650" s="2">
        <v>649</v>
      </c>
      <c r="B650" s="4">
        <f>YEAR(F650)</f>
        <v>2023</v>
      </c>
      <c r="C650" s="4">
        <f>MONTH(F650)</f>
        <v>2</v>
      </c>
      <c r="D650" s="4">
        <f>DAY(F650)</f>
        <v>9</v>
      </c>
      <c r="E650" s="4" t="str">
        <f t="shared" si="10"/>
        <v>Thursday</v>
      </c>
      <c r="F650" s="3">
        <v>44966</v>
      </c>
      <c r="G650" s="4" t="s">
        <v>681</v>
      </c>
      <c r="H650" s="4" t="s">
        <v>7</v>
      </c>
      <c r="I650" s="4">
        <v>58</v>
      </c>
      <c r="J650" s="4" t="str" cm="1">
        <f t="array" ref="J650">_xlfn.IFS(I650&lt;30,"Young Adult", I650&lt;50,"Adult",I650 &gt;=50,"Seniors")</f>
        <v>Seniors</v>
      </c>
      <c r="K650" s="4" t="s">
        <v>3</v>
      </c>
      <c r="L650" s="4">
        <v>2</v>
      </c>
      <c r="M650" s="5">
        <v>300</v>
      </c>
      <c r="N650">
        <f>L650*M650</f>
        <v>600</v>
      </c>
      <c r="O650" s="15">
        <f>N650*$R$3</f>
        <v>9</v>
      </c>
    </row>
    <row r="651" spans="1:15">
      <c r="A651" s="2">
        <v>650</v>
      </c>
      <c r="B651" s="4">
        <f>YEAR(F651)</f>
        <v>2024</v>
      </c>
      <c r="C651" s="4">
        <f>MONTH(F651)</f>
        <v>1</v>
      </c>
      <c r="D651" s="4">
        <f>DAY(F651)</f>
        <v>1</v>
      </c>
      <c r="E651" s="4" t="str">
        <f t="shared" si="10"/>
        <v>Monday</v>
      </c>
      <c r="F651" s="3">
        <v>45292</v>
      </c>
      <c r="G651" s="4" t="s">
        <v>682</v>
      </c>
      <c r="H651" s="4" t="s">
        <v>8</v>
      </c>
      <c r="I651" s="4">
        <v>55</v>
      </c>
      <c r="J651" s="4" t="str" cm="1">
        <f t="array" ref="J651">_xlfn.IFS(I651&lt;30,"Young Adult", I651&lt;50,"Adult",I651 &gt;=50,"Seniors")</f>
        <v>Seniors</v>
      </c>
      <c r="K651" s="4" t="s">
        <v>4</v>
      </c>
      <c r="L651" s="4">
        <v>1</v>
      </c>
      <c r="M651" s="5">
        <v>30</v>
      </c>
      <c r="N651">
        <f>L651*M651</f>
        <v>30</v>
      </c>
      <c r="O651" s="15">
        <f>N651*$R$3</f>
        <v>0.44999999999999996</v>
      </c>
    </row>
    <row r="652" spans="1:15">
      <c r="A652" s="2">
        <v>651</v>
      </c>
      <c r="B652" s="4">
        <f>YEAR(F652)</f>
        <v>2023</v>
      </c>
      <c r="C652" s="4">
        <f>MONTH(F652)</f>
        <v>5</v>
      </c>
      <c r="D652" s="4">
        <f>DAY(F652)</f>
        <v>27</v>
      </c>
      <c r="E652" s="4" t="str">
        <f t="shared" si="10"/>
        <v>Saturday</v>
      </c>
      <c r="F652" s="3">
        <v>45073</v>
      </c>
      <c r="G652" s="4" t="s">
        <v>683</v>
      </c>
      <c r="H652" s="4" t="s">
        <v>8</v>
      </c>
      <c r="I652" s="4">
        <v>51</v>
      </c>
      <c r="J652" s="4" t="str" cm="1">
        <f t="array" ref="J652">_xlfn.IFS(I652&lt;30,"Young Adult", I652&lt;50,"Adult",I652 &gt;=50,"Seniors")</f>
        <v>Seniors</v>
      </c>
      <c r="K652" s="4" t="s">
        <v>3</v>
      </c>
      <c r="L652" s="4">
        <v>3</v>
      </c>
      <c r="M652" s="5">
        <v>50</v>
      </c>
      <c r="N652">
        <f>L652*M652</f>
        <v>150</v>
      </c>
      <c r="O652" s="15">
        <f>N652*$R$3</f>
        <v>2.25</v>
      </c>
    </row>
    <row r="653" spans="1:15">
      <c r="A653" s="2">
        <v>652</v>
      </c>
      <c r="B653" s="4">
        <f>YEAR(F653)</f>
        <v>2023</v>
      </c>
      <c r="C653" s="4">
        <f>MONTH(F653)</f>
        <v>5</v>
      </c>
      <c r="D653" s="4">
        <f>DAY(F653)</f>
        <v>1</v>
      </c>
      <c r="E653" s="4" t="str">
        <f t="shared" si="10"/>
        <v>Monday</v>
      </c>
      <c r="F653" s="3">
        <v>45047</v>
      </c>
      <c r="G653" s="4" t="s">
        <v>684</v>
      </c>
      <c r="H653" s="4" t="s">
        <v>7</v>
      </c>
      <c r="I653" s="4">
        <v>34</v>
      </c>
      <c r="J653" s="4" t="str" cm="1">
        <f t="array" ref="J653">_xlfn.IFS(I653&lt;30,"Young Adult", I653&lt;50,"Adult",I653 &gt;=50,"Seniors")</f>
        <v>Adult</v>
      </c>
      <c r="K653" s="4" t="s">
        <v>2</v>
      </c>
      <c r="L653" s="4">
        <v>2</v>
      </c>
      <c r="M653" s="5">
        <v>50</v>
      </c>
      <c r="N653">
        <f>L653*M653</f>
        <v>100</v>
      </c>
      <c r="O653" s="15">
        <f>N653*$R$3</f>
        <v>1.5</v>
      </c>
    </row>
    <row r="654" spans="1:15">
      <c r="A654" s="2">
        <v>653</v>
      </c>
      <c r="B654" s="4">
        <f>YEAR(F654)</f>
        <v>2023</v>
      </c>
      <c r="C654" s="4">
        <f>MONTH(F654)</f>
        <v>5</v>
      </c>
      <c r="D654" s="4">
        <f>DAY(F654)</f>
        <v>20</v>
      </c>
      <c r="E654" s="4" t="str">
        <f t="shared" si="10"/>
        <v>Saturday</v>
      </c>
      <c r="F654" s="3">
        <v>45066</v>
      </c>
      <c r="G654" s="4" t="s">
        <v>685</v>
      </c>
      <c r="H654" s="4" t="s">
        <v>8</v>
      </c>
      <c r="I654" s="4">
        <v>54</v>
      </c>
      <c r="J654" s="4" t="str" cm="1">
        <f t="array" ref="J654">_xlfn.IFS(I654&lt;30,"Young Adult", I654&lt;50,"Adult",I654 &gt;=50,"Seniors")</f>
        <v>Seniors</v>
      </c>
      <c r="K654" s="4" t="s">
        <v>3</v>
      </c>
      <c r="L654" s="4">
        <v>3</v>
      </c>
      <c r="M654" s="5">
        <v>25</v>
      </c>
      <c r="N654">
        <f>L654*M654</f>
        <v>75</v>
      </c>
      <c r="O654" s="15">
        <f>N654*$R$3</f>
        <v>1.125</v>
      </c>
    </row>
    <row r="655" spans="1:15">
      <c r="A655" s="2">
        <v>654</v>
      </c>
      <c r="B655" s="4">
        <f>YEAR(F655)</f>
        <v>2023</v>
      </c>
      <c r="C655" s="4">
        <f>MONTH(F655)</f>
        <v>6</v>
      </c>
      <c r="D655" s="4">
        <f>DAY(F655)</f>
        <v>21</v>
      </c>
      <c r="E655" s="4" t="str">
        <f t="shared" si="10"/>
        <v>Wednesday</v>
      </c>
      <c r="F655" s="3">
        <v>45098</v>
      </c>
      <c r="G655" s="4" t="s">
        <v>686</v>
      </c>
      <c r="H655" s="4" t="s">
        <v>8</v>
      </c>
      <c r="I655" s="4">
        <v>42</v>
      </c>
      <c r="J655" s="4" t="str" cm="1">
        <f t="array" ref="J655">_xlfn.IFS(I655&lt;30,"Young Adult", I655&lt;50,"Adult",I655 &gt;=50,"Seniors")</f>
        <v>Adult</v>
      </c>
      <c r="K655" s="4" t="s">
        <v>3</v>
      </c>
      <c r="L655" s="4">
        <v>3</v>
      </c>
      <c r="M655" s="5">
        <v>25</v>
      </c>
      <c r="N655">
        <f>L655*M655</f>
        <v>75</v>
      </c>
      <c r="O655" s="15">
        <f>N655*$R$3</f>
        <v>1.125</v>
      </c>
    </row>
    <row r="656" spans="1:15">
      <c r="A656" s="2">
        <v>655</v>
      </c>
      <c r="B656" s="4">
        <f>YEAR(F656)</f>
        <v>2023</v>
      </c>
      <c r="C656" s="4">
        <f>MONTH(F656)</f>
        <v>6</v>
      </c>
      <c r="D656" s="4">
        <f>DAY(F656)</f>
        <v>13</v>
      </c>
      <c r="E656" s="4" t="str">
        <f t="shared" si="10"/>
        <v>Tuesday</v>
      </c>
      <c r="F656" s="3">
        <v>45090</v>
      </c>
      <c r="G656" s="4" t="s">
        <v>687</v>
      </c>
      <c r="H656" s="4" t="s">
        <v>7</v>
      </c>
      <c r="I656" s="4">
        <v>55</v>
      </c>
      <c r="J656" s="4" t="str" cm="1">
        <f t="array" ref="J656">_xlfn.IFS(I656&lt;30,"Young Adult", I656&lt;50,"Adult",I656 &gt;=50,"Seniors")</f>
        <v>Seniors</v>
      </c>
      <c r="K656" s="4" t="s">
        <v>3</v>
      </c>
      <c r="L656" s="4">
        <v>1</v>
      </c>
      <c r="M656" s="5">
        <v>500</v>
      </c>
      <c r="N656">
        <f>L656*M656</f>
        <v>500</v>
      </c>
      <c r="O656" s="15">
        <f>N656*$R$3</f>
        <v>7.5</v>
      </c>
    </row>
    <row r="657" spans="1:15">
      <c r="A657" s="2">
        <v>656</v>
      </c>
      <c r="B657" s="4">
        <f>YEAR(F657)</f>
        <v>2023</v>
      </c>
      <c r="C657" s="4">
        <f>MONTH(F657)</f>
        <v>10</v>
      </c>
      <c r="D657" s="4">
        <f>DAY(F657)</f>
        <v>4</v>
      </c>
      <c r="E657" s="4" t="str">
        <f t="shared" si="10"/>
        <v>Wednesday</v>
      </c>
      <c r="F657" s="3">
        <v>45203</v>
      </c>
      <c r="G657" s="4" t="s">
        <v>688</v>
      </c>
      <c r="H657" s="4" t="s">
        <v>8</v>
      </c>
      <c r="I657" s="4">
        <v>29</v>
      </c>
      <c r="J657" s="4" t="str" cm="1">
        <f t="array" ref="J657">_xlfn.IFS(I657&lt;30,"Young Adult", I657&lt;50,"Adult",I657 &gt;=50,"Seniors")</f>
        <v>Young Adult</v>
      </c>
      <c r="K657" s="4" t="s">
        <v>2</v>
      </c>
      <c r="L657" s="4">
        <v>3</v>
      </c>
      <c r="M657" s="5">
        <v>30</v>
      </c>
      <c r="N657">
        <f>L657*M657</f>
        <v>90</v>
      </c>
      <c r="O657" s="15">
        <f>N657*$R$3</f>
        <v>1.3499999999999999</v>
      </c>
    </row>
    <row r="658" spans="1:15">
      <c r="A658" s="2">
        <v>657</v>
      </c>
      <c r="B658" s="4">
        <f>YEAR(F658)</f>
        <v>2023</v>
      </c>
      <c r="C658" s="4">
        <f>MONTH(F658)</f>
        <v>2</v>
      </c>
      <c r="D658" s="4">
        <f>DAY(F658)</f>
        <v>11</v>
      </c>
      <c r="E658" s="4" t="str">
        <f t="shared" si="10"/>
        <v>Saturday</v>
      </c>
      <c r="F658" s="3">
        <v>44968</v>
      </c>
      <c r="G658" s="4" t="s">
        <v>689</v>
      </c>
      <c r="H658" s="4" t="s">
        <v>8</v>
      </c>
      <c r="I658" s="4">
        <v>40</v>
      </c>
      <c r="J658" s="4" t="str" cm="1">
        <f t="array" ref="J658">_xlfn.IFS(I658&lt;30,"Young Adult", I658&lt;50,"Adult",I658 &gt;=50,"Seniors")</f>
        <v>Adult</v>
      </c>
      <c r="K658" s="4" t="s">
        <v>3</v>
      </c>
      <c r="L658" s="4">
        <v>1</v>
      </c>
      <c r="M658" s="5">
        <v>25</v>
      </c>
      <c r="N658">
        <f>L658*M658</f>
        <v>25</v>
      </c>
      <c r="O658" s="15">
        <f>N658*$R$3</f>
        <v>0.375</v>
      </c>
    </row>
    <row r="659" spans="1:15">
      <c r="A659" s="2">
        <v>658</v>
      </c>
      <c r="B659" s="4">
        <f>YEAR(F659)</f>
        <v>2023</v>
      </c>
      <c r="C659" s="4">
        <f>MONTH(F659)</f>
        <v>3</v>
      </c>
      <c r="D659" s="4">
        <f>DAY(F659)</f>
        <v>12</v>
      </c>
      <c r="E659" s="4" t="str">
        <f t="shared" si="10"/>
        <v>Sunday</v>
      </c>
      <c r="F659" s="3">
        <v>44997</v>
      </c>
      <c r="G659" s="4" t="s">
        <v>690</v>
      </c>
      <c r="H659" s="4" t="s">
        <v>8</v>
      </c>
      <c r="I659" s="4">
        <v>59</v>
      </c>
      <c r="J659" s="4" t="str" cm="1">
        <f t="array" ref="J659">_xlfn.IFS(I659&lt;30,"Young Adult", I659&lt;50,"Adult",I659 &gt;=50,"Seniors")</f>
        <v>Seniors</v>
      </c>
      <c r="K659" s="4" t="s">
        <v>3</v>
      </c>
      <c r="L659" s="4">
        <v>1</v>
      </c>
      <c r="M659" s="5">
        <v>25</v>
      </c>
      <c r="N659">
        <f>L659*M659</f>
        <v>25</v>
      </c>
      <c r="O659" s="15">
        <f>N659*$R$3</f>
        <v>0.375</v>
      </c>
    </row>
    <row r="660" spans="1:15">
      <c r="A660" s="2">
        <v>659</v>
      </c>
      <c r="B660" s="4">
        <f>YEAR(F660)</f>
        <v>2023</v>
      </c>
      <c r="C660" s="4">
        <f>MONTH(F660)</f>
        <v>3</v>
      </c>
      <c r="D660" s="4">
        <f>DAY(F660)</f>
        <v>19</v>
      </c>
      <c r="E660" s="4" t="str">
        <f t="shared" si="10"/>
        <v>Sunday</v>
      </c>
      <c r="F660" s="3">
        <v>45004</v>
      </c>
      <c r="G660" s="4" t="s">
        <v>691</v>
      </c>
      <c r="H660" s="4" t="s">
        <v>7</v>
      </c>
      <c r="I660" s="4">
        <v>39</v>
      </c>
      <c r="J660" s="4" t="str" cm="1">
        <f t="array" ref="J660">_xlfn.IFS(I660&lt;30,"Young Adult", I660&lt;50,"Adult",I660 &gt;=50,"Seniors")</f>
        <v>Adult</v>
      </c>
      <c r="K660" s="4" t="s">
        <v>4</v>
      </c>
      <c r="L660" s="4">
        <v>1</v>
      </c>
      <c r="M660" s="5">
        <v>30</v>
      </c>
      <c r="N660">
        <f>L660*M660</f>
        <v>30</v>
      </c>
      <c r="O660" s="15">
        <f>N660*$R$3</f>
        <v>0.44999999999999996</v>
      </c>
    </row>
    <row r="661" spans="1:15">
      <c r="A661" s="2">
        <v>660</v>
      </c>
      <c r="B661" s="4">
        <f>YEAR(F661)</f>
        <v>2023</v>
      </c>
      <c r="C661" s="4">
        <f>MONTH(F661)</f>
        <v>4</v>
      </c>
      <c r="D661" s="4">
        <f>DAY(F661)</f>
        <v>29</v>
      </c>
      <c r="E661" s="4" t="str">
        <f t="shared" si="10"/>
        <v>Saturday</v>
      </c>
      <c r="F661" s="3">
        <v>45045</v>
      </c>
      <c r="G661" s="4" t="s">
        <v>692</v>
      </c>
      <c r="H661" s="4" t="s">
        <v>7</v>
      </c>
      <c r="I661" s="4">
        <v>38</v>
      </c>
      <c r="J661" s="4" t="str" cm="1">
        <f t="array" ref="J661">_xlfn.IFS(I661&lt;30,"Young Adult", I661&lt;50,"Adult",I661 &gt;=50,"Seniors")</f>
        <v>Adult</v>
      </c>
      <c r="K661" s="4" t="s">
        <v>2</v>
      </c>
      <c r="L661" s="4">
        <v>2</v>
      </c>
      <c r="M661" s="5">
        <v>500</v>
      </c>
      <c r="N661">
        <f>L661*M661</f>
        <v>1000</v>
      </c>
      <c r="O661" s="15">
        <f>N661*$R$3</f>
        <v>15</v>
      </c>
    </row>
    <row r="662" spans="1:15">
      <c r="A662" s="2">
        <v>661</v>
      </c>
      <c r="B662" s="4">
        <f>YEAR(F662)</f>
        <v>2023</v>
      </c>
      <c r="C662" s="4">
        <f>MONTH(F662)</f>
        <v>7</v>
      </c>
      <c r="D662" s="4">
        <f>DAY(F662)</f>
        <v>16</v>
      </c>
      <c r="E662" s="4" t="str">
        <f t="shared" si="10"/>
        <v>Sunday</v>
      </c>
      <c r="F662" s="3">
        <v>45123</v>
      </c>
      <c r="G662" s="4" t="s">
        <v>693</v>
      </c>
      <c r="H662" s="4" t="s">
        <v>7</v>
      </c>
      <c r="I662" s="4">
        <v>44</v>
      </c>
      <c r="J662" s="4" t="str" cm="1">
        <f t="array" ref="J662">_xlfn.IFS(I662&lt;30,"Young Adult", I662&lt;50,"Adult",I662 &gt;=50,"Seniors")</f>
        <v>Adult</v>
      </c>
      <c r="K662" s="4" t="s">
        <v>3</v>
      </c>
      <c r="L662" s="4">
        <v>4</v>
      </c>
      <c r="M662" s="5">
        <v>25</v>
      </c>
      <c r="N662">
        <f>L662*M662</f>
        <v>100</v>
      </c>
      <c r="O662" s="15">
        <f>N662*$R$3</f>
        <v>1.5</v>
      </c>
    </row>
    <row r="663" spans="1:15">
      <c r="A663" s="2">
        <v>662</v>
      </c>
      <c r="B663" s="4">
        <f>YEAR(F663)</f>
        <v>2023</v>
      </c>
      <c r="C663" s="4">
        <f>MONTH(F663)</f>
        <v>12</v>
      </c>
      <c r="D663" s="4">
        <f>DAY(F663)</f>
        <v>22</v>
      </c>
      <c r="E663" s="4" t="str">
        <f t="shared" si="10"/>
        <v>Friday</v>
      </c>
      <c r="F663" s="3">
        <v>45282</v>
      </c>
      <c r="G663" s="4" t="s">
        <v>694</v>
      </c>
      <c r="H663" s="4" t="s">
        <v>8</v>
      </c>
      <c r="I663" s="4">
        <v>48</v>
      </c>
      <c r="J663" s="4" t="str" cm="1">
        <f t="array" ref="J663">_xlfn.IFS(I663&lt;30,"Young Adult", I663&lt;50,"Adult",I663 &gt;=50,"Seniors")</f>
        <v>Adult</v>
      </c>
      <c r="K663" s="4" t="s">
        <v>2</v>
      </c>
      <c r="L663" s="4">
        <v>2</v>
      </c>
      <c r="M663" s="5">
        <v>500</v>
      </c>
      <c r="N663">
        <f>L663*M663</f>
        <v>1000</v>
      </c>
      <c r="O663" s="15">
        <f>N663*$R$3</f>
        <v>15</v>
      </c>
    </row>
    <row r="664" spans="1:15">
      <c r="A664" s="2">
        <v>663</v>
      </c>
      <c r="B664" s="4">
        <f>YEAR(F664)</f>
        <v>2023</v>
      </c>
      <c r="C664" s="4">
        <f>MONTH(F664)</f>
        <v>3</v>
      </c>
      <c r="D664" s="4">
        <f>DAY(F664)</f>
        <v>20</v>
      </c>
      <c r="E664" s="4" t="str">
        <f t="shared" si="10"/>
        <v>Monday</v>
      </c>
      <c r="F664" s="3">
        <v>45005</v>
      </c>
      <c r="G664" s="4" t="s">
        <v>695</v>
      </c>
      <c r="H664" s="4" t="s">
        <v>8</v>
      </c>
      <c r="I664" s="4">
        <v>23</v>
      </c>
      <c r="J664" s="4" t="str" cm="1">
        <f t="array" ref="J664">_xlfn.IFS(I664&lt;30,"Young Adult", I664&lt;50,"Adult",I664 &gt;=50,"Seniors")</f>
        <v>Young Adult</v>
      </c>
      <c r="K664" s="4" t="s">
        <v>3</v>
      </c>
      <c r="L664" s="4">
        <v>4</v>
      </c>
      <c r="M664" s="5">
        <v>300</v>
      </c>
      <c r="N664">
        <f>L664*M664</f>
        <v>1200</v>
      </c>
      <c r="O664" s="15">
        <f>N664*$R$3</f>
        <v>18</v>
      </c>
    </row>
    <row r="665" spans="1:15">
      <c r="A665" s="2">
        <v>664</v>
      </c>
      <c r="B665" s="4">
        <f>YEAR(F665)</f>
        <v>2023</v>
      </c>
      <c r="C665" s="4">
        <f>MONTH(F665)</f>
        <v>12</v>
      </c>
      <c r="D665" s="4">
        <f>DAY(F665)</f>
        <v>28</v>
      </c>
      <c r="E665" s="4" t="str">
        <f t="shared" si="10"/>
        <v>Thursday</v>
      </c>
      <c r="F665" s="3">
        <v>45288</v>
      </c>
      <c r="G665" s="4" t="s">
        <v>696</v>
      </c>
      <c r="H665" s="4" t="s">
        <v>7</v>
      </c>
      <c r="I665" s="4">
        <v>44</v>
      </c>
      <c r="J665" s="4" t="str" cm="1">
        <f t="array" ref="J665">_xlfn.IFS(I665&lt;30,"Young Adult", I665&lt;50,"Adult",I665 &gt;=50,"Seniors")</f>
        <v>Adult</v>
      </c>
      <c r="K665" s="4" t="s">
        <v>3</v>
      </c>
      <c r="L665" s="4">
        <v>4</v>
      </c>
      <c r="M665" s="5">
        <v>500</v>
      </c>
      <c r="N665">
        <f>L665*M665</f>
        <v>2000</v>
      </c>
      <c r="O665" s="15">
        <f>N665*$R$3</f>
        <v>30</v>
      </c>
    </row>
    <row r="666" spans="1:15">
      <c r="A666" s="2">
        <v>665</v>
      </c>
      <c r="B666" s="4">
        <f>YEAR(F666)</f>
        <v>2023</v>
      </c>
      <c r="C666" s="4">
        <f>MONTH(F666)</f>
        <v>4</v>
      </c>
      <c r="D666" s="4">
        <f>DAY(F666)</f>
        <v>20</v>
      </c>
      <c r="E666" s="4" t="str">
        <f t="shared" si="10"/>
        <v>Thursday</v>
      </c>
      <c r="F666" s="3">
        <v>45036</v>
      </c>
      <c r="G666" s="4" t="s">
        <v>697</v>
      </c>
      <c r="H666" s="4" t="s">
        <v>8</v>
      </c>
      <c r="I666" s="4">
        <v>57</v>
      </c>
      <c r="J666" s="4" t="str" cm="1">
        <f t="array" ref="J666">_xlfn.IFS(I666&lt;30,"Young Adult", I666&lt;50,"Adult",I666 &gt;=50,"Seniors")</f>
        <v>Seniors</v>
      </c>
      <c r="K666" s="4" t="s">
        <v>3</v>
      </c>
      <c r="L666" s="4">
        <v>1</v>
      </c>
      <c r="M666" s="5">
        <v>50</v>
      </c>
      <c r="N666">
        <f>L666*M666</f>
        <v>50</v>
      </c>
      <c r="O666" s="15">
        <f>N666*$R$3</f>
        <v>0.75</v>
      </c>
    </row>
    <row r="667" spans="1:15">
      <c r="A667" s="2">
        <v>666</v>
      </c>
      <c r="B667" s="4">
        <f>YEAR(F667)</f>
        <v>2023</v>
      </c>
      <c r="C667" s="4">
        <f>MONTH(F667)</f>
        <v>2</v>
      </c>
      <c r="D667" s="4">
        <f>DAY(F667)</f>
        <v>2</v>
      </c>
      <c r="E667" s="4" t="str">
        <f t="shared" si="10"/>
        <v>Thursday</v>
      </c>
      <c r="F667" s="3">
        <v>44959</v>
      </c>
      <c r="G667" s="4" t="s">
        <v>698</v>
      </c>
      <c r="H667" s="4" t="s">
        <v>8</v>
      </c>
      <c r="I667" s="4">
        <v>51</v>
      </c>
      <c r="J667" s="4" t="str" cm="1">
        <f t="array" ref="J667">_xlfn.IFS(I667&lt;30,"Young Adult", I667&lt;50,"Adult",I667 &gt;=50,"Seniors")</f>
        <v>Seniors</v>
      </c>
      <c r="K667" s="4" t="s">
        <v>4</v>
      </c>
      <c r="L667" s="4">
        <v>3</v>
      </c>
      <c r="M667" s="5">
        <v>50</v>
      </c>
      <c r="N667">
        <f>L667*M667</f>
        <v>150</v>
      </c>
      <c r="O667" s="15">
        <f>N667*$R$3</f>
        <v>2.25</v>
      </c>
    </row>
    <row r="668" spans="1:15">
      <c r="A668" s="2">
        <v>667</v>
      </c>
      <c r="B668" s="4">
        <f>YEAR(F668)</f>
        <v>2023</v>
      </c>
      <c r="C668" s="4">
        <f>MONTH(F668)</f>
        <v>8</v>
      </c>
      <c r="D668" s="4">
        <f>DAY(F668)</f>
        <v>1</v>
      </c>
      <c r="E668" s="4" t="str">
        <f t="shared" si="10"/>
        <v>Tuesday</v>
      </c>
      <c r="F668" s="3">
        <v>45139</v>
      </c>
      <c r="G668" s="4" t="s">
        <v>699</v>
      </c>
      <c r="H668" s="4" t="s">
        <v>7</v>
      </c>
      <c r="I668" s="4">
        <v>29</v>
      </c>
      <c r="J668" s="4" t="str" cm="1">
        <f t="array" ref="J668">_xlfn.IFS(I668&lt;30,"Young Adult", I668&lt;50,"Adult",I668 &gt;=50,"Seniors")</f>
        <v>Young Adult</v>
      </c>
      <c r="K668" s="4" t="s">
        <v>4</v>
      </c>
      <c r="L668" s="4">
        <v>1</v>
      </c>
      <c r="M668" s="5">
        <v>500</v>
      </c>
      <c r="N668">
        <f>L668*M668</f>
        <v>500</v>
      </c>
      <c r="O668" s="15">
        <f>N668*$R$3</f>
        <v>7.5</v>
      </c>
    </row>
    <row r="669" spans="1:15">
      <c r="A669" s="2">
        <v>668</v>
      </c>
      <c r="B669" s="4">
        <f>YEAR(F669)</f>
        <v>2023</v>
      </c>
      <c r="C669" s="4">
        <f>MONTH(F669)</f>
        <v>7</v>
      </c>
      <c r="D669" s="4">
        <f>DAY(F669)</f>
        <v>28</v>
      </c>
      <c r="E669" s="4" t="str">
        <f t="shared" si="10"/>
        <v>Friday</v>
      </c>
      <c r="F669" s="3">
        <v>45135</v>
      </c>
      <c r="G669" s="4" t="s">
        <v>700</v>
      </c>
      <c r="H669" s="4" t="s">
        <v>7</v>
      </c>
      <c r="I669" s="4">
        <v>62</v>
      </c>
      <c r="J669" s="4" t="str" cm="1">
        <f t="array" ref="J669">_xlfn.IFS(I669&lt;30,"Young Adult", I669&lt;50,"Adult",I669 &gt;=50,"Seniors")</f>
        <v>Seniors</v>
      </c>
      <c r="K669" s="4" t="s">
        <v>4</v>
      </c>
      <c r="L669" s="4">
        <v>3</v>
      </c>
      <c r="M669" s="5">
        <v>50</v>
      </c>
      <c r="N669">
        <f>L669*M669</f>
        <v>150</v>
      </c>
      <c r="O669" s="15">
        <f>N669*$R$3</f>
        <v>2.25</v>
      </c>
    </row>
    <row r="670" spans="1:15">
      <c r="A670" s="2">
        <v>669</v>
      </c>
      <c r="B670" s="4">
        <f>YEAR(F670)</f>
        <v>2023</v>
      </c>
      <c r="C670" s="4">
        <f>MONTH(F670)</f>
        <v>6</v>
      </c>
      <c r="D670" s="4">
        <f>DAY(F670)</f>
        <v>19</v>
      </c>
      <c r="E670" s="4" t="str">
        <f t="shared" si="10"/>
        <v>Monday</v>
      </c>
      <c r="F670" s="3">
        <v>45096</v>
      </c>
      <c r="G670" s="4" t="s">
        <v>701</v>
      </c>
      <c r="H670" s="4" t="s">
        <v>8</v>
      </c>
      <c r="I670" s="4">
        <v>24</v>
      </c>
      <c r="J670" s="4" t="str" cm="1">
        <f t="array" ref="J670">_xlfn.IFS(I670&lt;30,"Young Adult", I670&lt;50,"Adult",I670 &gt;=50,"Seniors")</f>
        <v>Young Adult</v>
      </c>
      <c r="K670" s="4" t="s">
        <v>2</v>
      </c>
      <c r="L670" s="4">
        <v>4</v>
      </c>
      <c r="M670" s="5">
        <v>300</v>
      </c>
      <c r="N670">
        <f>L670*M670</f>
        <v>1200</v>
      </c>
      <c r="O670" s="15">
        <f>N670*$R$3</f>
        <v>18</v>
      </c>
    </row>
    <row r="671" spans="1:15">
      <c r="A671" s="2">
        <v>670</v>
      </c>
      <c r="B671" s="4">
        <f>YEAR(F671)</f>
        <v>2023</v>
      </c>
      <c r="C671" s="4">
        <f>MONTH(F671)</f>
        <v>10</v>
      </c>
      <c r="D671" s="4">
        <f>DAY(F671)</f>
        <v>5</v>
      </c>
      <c r="E671" s="4" t="str">
        <f t="shared" si="10"/>
        <v>Thursday</v>
      </c>
      <c r="F671" s="3">
        <v>45204</v>
      </c>
      <c r="G671" s="4" t="s">
        <v>702</v>
      </c>
      <c r="H671" s="4" t="s">
        <v>8</v>
      </c>
      <c r="I671" s="4">
        <v>27</v>
      </c>
      <c r="J671" s="4" t="str" cm="1">
        <f t="array" ref="J671">_xlfn.IFS(I671&lt;30,"Young Adult", I671&lt;50,"Adult",I671 &gt;=50,"Seniors")</f>
        <v>Young Adult</v>
      </c>
      <c r="K671" s="4" t="s">
        <v>2</v>
      </c>
      <c r="L671" s="4">
        <v>1</v>
      </c>
      <c r="M671" s="5">
        <v>30</v>
      </c>
      <c r="N671">
        <f>L671*M671</f>
        <v>30</v>
      </c>
      <c r="O671" s="15">
        <f>N671*$R$3</f>
        <v>0.44999999999999996</v>
      </c>
    </row>
    <row r="672" spans="1:15">
      <c r="A672" s="2">
        <v>671</v>
      </c>
      <c r="B672" s="4">
        <f>YEAR(F672)</f>
        <v>2023</v>
      </c>
      <c r="C672" s="4">
        <f>MONTH(F672)</f>
        <v>8</v>
      </c>
      <c r="D672" s="4">
        <f>DAY(F672)</f>
        <v>27</v>
      </c>
      <c r="E672" s="4" t="str">
        <f t="shared" si="10"/>
        <v>Sunday</v>
      </c>
      <c r="F672" s="3">
        <v>45165</v>
      </c>
      <c r="G672" s="4" t="s">
        <v>703</v>
      </c>
      <c r="H672" s="4" t="s">
        <v>8</v>
      </c>
      <c r="I672" s="4">
        <v>62</v>
      </c>
      <c r="J672" s="4" t="str" cm="1">
        <f t="array" ref="J672">_xlfn.IFS(I672&lt;30,"Young Adult", I672&lt;50,"Adult",I672 &gt;=50,"Seniors")</f>
        <v>Seniors</v>
      </c>
      <c r="K672" s="4" t="s">
        <v>4</v>
      </c>
      <c r="L672" s="4">
        <v>3</v>
      </c>
      <c r="M672" s="5">
        <v>50</v>
      </c>
      <c r="N672">
        <f>L672*M672</f>
        <v>150</v>
      </c>
      <c r="O672" s="15">
        <f>N672*$R$3</f>
        <v>2.25</v>
      </c>
    </row>
    <row r="673" spans="1:15">
      <c r="A673" s="2">
        <v>672</v>
      </c>
      <c r="B673" s="4">
        <f>YEAR(F673)</f>
        <v>2023</v>
      </c>
      <c r="C673" s="4">
        <f>MONTH(F673)</f>
        <v>8</v>
      </c>
      <c r="D673" s="4">
        <f>DAY(F673)</f>
        <v>1</v>
      </c>
      <c r="E673" s="4" t="str">
        <f t="shared" si="10"/>
        <v>Tuesday</v>
      </c>
      <c r="F673" s="3">
        <v>45139</v>
      </c>
      <c r="G673" s="4" t="s">
        <v>704</v>
      </c>
      <c r="H673" s="4" t="s">
        <v>7</v>
      </c>
      <c r="I673" s="4">
        <v>34</v>
      </c>
      <c r="J673" s="4" t="str" cm="1">
        <f t="array" ref="J673">_xlfn.IFS(I673&lt;30,"Young Adult", I673&lt;50,"Adult",I673 &gt;=50,"Seniors")</f>
        <v>Adult</v>
      </c>
      <c r="K673" s="4" t="s">
        <v>2</v>
      </c>
      <c r="L673" s="4">
        <v>2</v>
      </c>
      <c r="M673" s="5">
        <v>50</v>
      </c>
      <c r="N673">
        <f>L673*M673</f>
        <v>100</v>
      </c>
      <c r="O673" s="15">
        <f>N673*$R$3</f>
        <v>1.5</v>
      </c>
    </row>
    <row r="674" spans="1:15">
      <c r="A674" s="2">
        <v>673</v>
      </c>
      <c r="B674" s="4">
        <f>YEAR(F674)</f>
        <v>2023</v>
      </c>
      <c r="C674" s="4">
        <f>MONTH(F674)</f>
        <v>2</v>
      </c>
      <c r="D674" s="4">
        <f>DAY(F674)</f>
        <v>1</v>
      </c>
      <c r="E674" s="4" t="str">
        <f t="shared" si="10"/>
        <v>Wednesday</v>
      </c>
      <c r="F674" s="3">
        <v>44958</v>
      </c>
      <c r="G674" s="4" t="s">
        <v>705</v>
      </c>
      <c r="H674" s="4" t="s">
        <v>7</v>
      </c>
      <c r="I674" s="4">
        <v>43</v>
      </c>
      <c r="J674" s="4" t="str" cm="1">
        <f t="array" ref="J674">_xlfn.IFS(I674&lt;30,"Young Adult", I674&lt;50,"Adult",I674 &gt;=50,"Seniors")</f>
        <v>Adult</v>
      </c>
      <c r="K674" s="4" t="s">
        <v>3</v>
      </c>
      <c r="L674" s="4">
        <v>3</v>
      </c>
      <c r="M674" s="5">
        <v>500</v>
      </c>
      <c r="N674">
        <f>L674*M674</f>
        <v>1500</v>
      </c>
      <c r="O674" s="15">
        <f>N674*$R$3</f>
        <v>22.5</v>
      </c>
    </row>
    <row r="675" spans="1:15">
      <c r="A675" s="2">
        <v>674</v>
      </c>
      <c r="B675" s="4">
        <f>YEAR(F675)</f>
        <v>2023</v>
      </c>
      <c r="C675" s="4">
        <f>MONTH(F675)</f>
        <v>4</v>
      </c>
      <c r="D675" s="4">
        <f>DAY(F675)</f>
        <v>16</v>
      </c>
      <c r="E675" s="4" t="str">
        <f t="shared" si="10"/>
        <v>Sunday</v>
      </c>
      <c r="F675" s="3">
        <v>45032</v>
      </c>
      <c r="G675" s="4" t="s">
        <v>706</v>
      </c>
      <c r="H675" s="4" t="s">
        <v>7</v>
      </c>
      <c r="I675" s="4">
        <v>38</v>
      </c>
      <c r="J675" s="4" t="str" cm="1">
        <f t="array" ref="J675">_xlfn.IFS(I675&lt;30,"Young Adult", I675&lt;50,"Adult",I675 &gt;=50,"Seniors")</f>
        <v>Adult</v>
      </c>
      <c r="K675" s="4" t="s">
        <v>3</v>
      </c>
      <c r="L675" s="4">
        <v>1</v>
      </c>
      <c r="M675" s="5">
        <v>300</v>
      </c>
      <c r="N675">
        <f>L675*M675</f>
        <v>300</v>
      </c>
      <c r="O675" s="15">
        <f>N675*$R$3</f>
        <v>4.5</v>
      </c>
    </row>
    <row r="676" spans="1:15">
      <c r="A676" s="2">
        <v>675</v>
      </c>
      <c r="B676" s="4">
        <f>YEAR(F676)</f>
        <v>2023</v>
      </c>
      <c r="C676" s="4">
        <f>MONTH(F676)</f>
        <v>8</v>
      </c>
      <c r="D676" s="4">
        <f>DAY(F676)</f>
        <v>4</v>
      </c>
      <c r="E676" s="4" t="str">
        <f t="shared" si="10"/>
        <v>Friday</v>
      </c>
      <c r="F676" s="3">
        <v>45142</v>
      </c>
      <c r="G676" s="4" t="s">
        <v>707</v>
      </c>
      <c r="H676" s="4" t="s">
        <v>7</v>
      </c>
      <c r="I676" s="4">
        <v>45</v>
      </c>
      <c r="J676" s="4" t="str" cm="1">
        <f t="array" ref="J676">_xlfn.IFS(I676&lt;30,"Young Adult", I676&lt;50,"Adult",I676 &gt;=50,"Seniors")</f>
        <v>Adult</v>
      </c>
      <c r="K676" s="4" t="s">
        <v>3</v>
      </c>
      <c r="L676" s="4">
        <v>2</v>
      </c>
      <c r="M676" s="5">
        <v>30</v>
      </c>
      <c r="N676">
        <f>L676*M676</f>
        <v>60</v>
      </c>
      <c r="O676" s="15">
        <f>N676*$R$3</f>
        <v>0.89999999999999991</v>
      </c>
    </row>
    <row r="677" spans="1:15">
      <c r="A677" s="2">
        <v>676</v>
      </c>
      <c r="B677" s="4">
        <f>YEAR(F677)</f>
        <v>2023</v>
      </c>
      <c r="C677" s="4">
        <f>MONTH(F677)</f>
        <v>7</v>
      </c>
      <c r="D677" s="4">
        <f>DAY(F677)</f>
        <v>19</v>
      </c>
      <c r="E677" s="4" t="str">
        <f t="shared" si="10"/>
        <v>Wednesday</v>
      </c>
      <c r="F677" s="3">
        <v>45126</v>
      </c>
      <c r="G677" s="4" t="s">
        <v>708</v>
      </c>
      <c r="H677" s="4" t="s">
        <v>8</v>
      </c>
      <c r="I677" s="4">
        <v>63</v>
      </c>
      <c r="J677" s="4" t="str" cm="1">
        <f t="array" ref="J677">_xlfn.IFS(I677&lt;30,"Young Adult", I677&lt;50,"Adult",I677 &gt;=50,"Seniors")</f>
        <v>Seniors</v>
      </c>
      <c r="K677" s="4" t="s">
        <v>4</v>
      </c>
      <c r="L677" s="4">
        <v>3</v>
      </c>
      <c r="M677" s="5">
        <v>500</v>
      </c>
      <c r="N677">
        <f>L677*M677</f>
        <v>1500</v>
      </c>
      <c r="O677" s="15">
        <f>N677*$R$3</f>
        <v>22.5</v>
      </c>
    </row>
    <row r="678" spans="1:15">
      <c r="A678" s="2">
        <v>677</v>
      </c>
      <c r="B678" s="4">
        <f>YEAR(F678)</f>
        <v>2023</v>
      </c>
      <c r="C678" s="4">
        <f>MONTH(F678)</f>
        <v>10</v>
      </c>
      <c r="D678" s="4">
        <f>DAY(F678)</f>
        <v>27</v>
      </c>
      <c r="E678" s="4" t="str">
        <f t="shared" si="10"/>
        <v>Friday</v>
      </c>
      <c r="F678" s="3">
        <v>45226</v>
      </c>
      <c r="G678" s="4" t="s">
        <v>709</v>
      </c>
      <c r="H678" s="4" t="s">
        <v>7</v>
      </c>
      <c r="I678" s="4">
        <v>19</v>
      </c>
      <c r="J678" s="4" t="str" cm="1">
        <f t="array" ref="J678">_xlfn.IFS(I678&lt;30,"Young Adult", I678&lt;50,"Adult",I678 &gt;=50,"Seniors")</f>
        <v>Young Adult</v>
      </c>
      <c r="K678" s="4" t="s">
        <v>2</v>
      </c>
      <c r="L678" s="4">
        <v>3</v>
      </c>
      <c r="M678" s="5">
        <v>500</v>
      </c>
      <c r="N678">
        <f>L678*M678</f>
        <v>1500</v>
      </c>
      <c r="O678" s="15">
        <f>N678*$R$3</f>
        <v>22.5</v>
      </c>
    </row>
    <row r="679" spans="1:15">
      <c r="A679" s="2">
        <v>678</v>
      </c>
      <c r="B679" s="4">
        <f>YEAR(F679)</f>
        <v>2023</v>
      </c>
      <c r="C679" s="4">
        <f>MONTH(F679)</f>
        <v>12</v>
      </c>
      <c r="D679" s="4">
        <f>DAY(F679)</f>
        <v>23</v>
      </c>
      <c r="E679" s="4" t="str">
        <f t="shared" si="10"/>
        <v>Saturday</v>
      </c>
      <c r="F679" s="3">
        <v>45283</v>
      </c>
      <c r="G679" s="4" t="s">
        <v>710</v>
      </c>
      <c r="H679" s="4" t="s">
        <v>7</v>
      </c>
      <c r="I679" s="4">
        <v>60</v>
      </c>
      <c r="J679" s="4" t="str" cm="1">
        <f t="array" ref="J679">_xlfn.IFS(I679&lt;30,"Young Adult", I679&lt;50,"Adult",I679 &gt;=50,"Seniors")</f>
        <v>Seniors</v>
      </c>
      <c r="K679" s="4" t="s">
        <v>4</v>
      </c>
      <c r="L679" s="4">
        <v>3</v>
      </c>
      <c r="M679" s="5">
        <v>300</v>
      </c>
      <c r="N679">
        <f>L679*M679</f>
        <v>900</v>
      </c>
      <c r="O679" s="15">
        <f>N679*$R$3</f>
        <v>13.5</v>
      </c>
    </row>
    <row r="680" spans="1:15">
      <c r="A680" s="2">
        <v>679</v>
      </c>
      <c r="B680" s="4">
        <f>YEAR(F680)</f>
        <v>2023</v>
      </c>
      <c r="C680" s="4">
        <f>MONTH(F680)</f>
        <v>1</v>
      </c>
      <c r="D680" s="4">
        <f>DAY(F680)</f>
        <v>11</v>
      </c>
      <c r="E680" s="4" t="str">
        <f t="shared" si="10"/>
        <v>Wednesday</v>
      </c>
      <c r="F680" s="3">
        <v>44937</v>
      </c>
      <c r="G680" s="4" t="s">
        <v>711</v>
      </c>
      <c r="H680" s="4" t="s">
        <v>7</v>
      </c>
      <c r="I680" s="4">
        <v>18</v>
      </c>
      <c r="J680" s="4" t="str" cm="1">
        <f t="array" ref="J680">_xlfn.IFS(I680&lt;30,"Young Adult", I680&lt;50,"Adult",I680 &gt;=50,"Seniors")</f>
        <v>Young Adult</v>
      </c>
      <c r="K680" s="4" t="s">
        <v>2</v>
      </c>
      <c r="L680" s="4">
        <v>3</v>
      </c>
      <c r="M680" s="5">
        <v>30</v>
      </c>
      <c r="N680">
        <f>L680*M680</f>
        <v>90</v>
      </c>
      <c r="O680" s="15">
        <f>N680*$R$3</f>
        <v>1.3499999999999999</v>
      </c>
    </row>
    <row r="681" spans="1:15">
      <c r="A681" s="2">
        <v>680</v>
      </c>
      <c r="B681" s="4">
        <f>YEAR(F681)</f>
        <v>2023</v>
      </c>
      <c r="C681" s="4">
        <f>MONTH(F681)</f>
        <v>10</v>
      </c>
      <c r="D681" s="4">
        <f>DAY(F681)</f>
        <v>22</v>
      </c>
      <c r="E681" s="4" t="str">
        <f t="shared" si="10"/>
        <v>Sunday</v>
      </c>
      <c r="F681" s="3">
        <v>45221</v>
      </c>
      <c r="G681" s="4" t="s">
        <v>712</v>
      </c>
      <c r="H681" s="4" t="s">
        <v>7</v>
      </c>
      <c r="I681" s="4">
        <v>53</v>
      </c>
      <c r="J681" s="4" t="str" cm="1">
        <f t="array" ref="J681">_xlfn.IFS(I681&lt;30,"Young Adult", I681&lt;50,"Adult",I681 &gt;=50,"Seniors")</f>
        <v>Seniors</v>
      </c>
      <c r="K681" s="4" t="s">
        <v>3</v>
      </c>
      <c r="L681" s="4">
        <v>3</v>
      </c>
      <c r="M681" s="5">
        <v>300</v>
      </c>
      <c r="N681">
        <f>L681*M681</f>
        <v>900</v>
      </c>
      <c r="O681" s="15">
        <f>N681*$R$3</f>
        <v>13.5</v>
      </c>
    </row>
    <row r="682" spans="1:15">
      <c r="A682" s="2">
        <v>681</v>
      </c>
      <c r="B682" s="4">
        <f>YEAR(F682)</f>
        <v>2023</v>
      </c>
      <c r="C682" s="4">
        <f>MONTH(F682)</f>
        <v>7</v>
      </c>
      <c r="D682" s="4">
        <f>DAY(F682)</f>
        <v>14</v>
      </c>
      <c r="E682" s="4" t="str">
        <f t="shared" si="10"/>
        <v>Friday</v>
      </c>
      <c r="F682" s="3">
        <v>45121</v>
      </c>
      <c r="G682" s="4" t="s">
        <v>713</v>
      </c>
      <c r="H682" s="4" t="s">
        <v>7</v>
      </c>
      <c r="I682" s="4">
        <v>43</v>
      </c>
      <c r="J682" s="4" t="str" cm="1">
        <f t="array" ref="J682">_xlfn.IFS(I682&lt;30,"Young Adult", I682&lt;50,"Adult",I682 &gt;=50,"Seniors")</f>
        <v>Adult</v>
      </c>
      <c r="K682" s="4" t="s">
        <v>4</v>
      </c>
      <c r="L682" s="4">
        <v>2</v>
      </c>
      <c r="M682" s="5">
        <v>30</v>
      </c>
      <c r="N682">
        <f>L682*M682</f>
        <v>60</v>
      </c>
      <c r="O682" s="15">
        <f>N682*$R$3</f>
        <v>0.89999999999999991</v>
      </c>
    </row>
    <row r="683" spans="1:15">
      <c r="A683" s="2">
        <v>682</v>
      </c>
      <c r="B683" s="4">
        <f>YEAR(F683)</f>
        <v>2023</v>
      </c>
      <c r="C683" s="4">
        <f>MONTH(F683)</f>
        <v>9</v>
      </c>
      <c r="D683" s="4">
        <f>DAY(F683)</f>
        <v>2</v>
      </c>
      <c r="E683" s="4" t="str">
        <f t="shared" si="10"/>
        <v>Saturday</v>
      </c>
      <c r="F683" s="3">
        <v>45171</v>
      </c>
      <c r="G683" s="4" t="s">
        <v>714</v>
      </c>
      <c r="H683" s="4" t="s">
        <v>8</v>
      </c>
      <c r="I683" s="4">
        <v>46</v>
      </c>
      <c r="J683" s="4" t="str" cm="1">
        <f t="array" ref="J683">_xlfn.IFS(I683&lt;30,"Young Adult", I683&lt;50,"Adult",I683 &gt;=50,"Seniors")</f>
        <v>Adult</v>
      </c>
      <c r="K683" s="4" t="s">
        <v>2</v>
      </c>
      <c r="L683" s="4">
        <v>4</v>
      </c>
      <c r="M683" s="5">
        <v>300</v>
      </c>
      <c r="N683">
        <f>L683*M683</f>
        <v>1200</v>
      </c>
      <c r="O683" s="15">
        <f>N683*$R$3</f>
        <v>18</v>
      </c>
    </row>
    <row r="684" spans="1:15">
      <c r="A684" s="2">
        <v>683</v>
      </c>
      <c r="B684" s="4">
        <f>YEAR(F684)</f>
        <v>2023</v>
      </c>
      <c r="C684" s="4">
        <f>MONTH(F684)</f>
        <v>1</v>
      </c>
      <c r="D684" s="4">
        <f>DAY(F684)</f>
        <v>4</v>
      </c>
      <c r="E684" s="4" t="str">
        <f t="shared" si="10"/>
        <v>Wednesday</v>
      </c>
      <c r="F684" s="3">
        <v>44930</v>
      </c>
      <c r="G684" s="4" t="s">
        <v>715</v>
      </c>
      <c r="H684" s="4" t="s">
        <v>8</v>
      </c>
      <c r="I684" s="4">
        <v>38</v>
      </c>
      <c r="J684" s="4" t="str" cm="1">
        <f t="array" ref="J684">_xlfn.IFS(I684&lt;30,"Young Adult", I684&lt;50,"Adult",I684 &gt;=50,"Seniors")</f>
        <v>Adult</v>
      </c>
      <c r="K684" s="4" t="s">
        <v>2</v>
      </c>
      <c r="L684" s="4">
        <v>2</v>
      </c>
      <c r="M684" s="5">
        <v>500</v>
      </c>
      <c r="N684">
        <f>L684*M684</f>
        <v>1000</v>
      </c>
      <c r="O684" s="15">
        <f>N684*$R$3</f>
        <v>15</v>
      </c>
    </row>
    <row r="685" spans="1:15">
      <c r="A685" s="2">
        <v>684</v>
      </c>
      <c r="B685" s="4">
        <f>YEAR(F685)</f>
        <v>2023</v>
      </c>
      <c r="C685" s="4">
        <f>MONTH(F685)</f>
        <v>6</v>
      </c>
      <c r="D685" s="4">
        <f>DAY(F685)</f>
        <v>30</v>
      </c>
      <c r="E685" s="4" t="str">
        <f t="shared" si="10"/>
        <v>Friday</v>
      </c>
      <c r="F685" s="3">
        <v>45107</v>
      </c>
      <c r="G685" s="4" t="s">
        <v>716</v>
      </c>
      <c r="H685" s="4" t="s">
        <v>7</v>
      </c>
      <c r="I685" s="4">
        <v>28</v>
      </c>
      <c r="J685" s="4" t="str" cm="1">
        <f t="array" ref="J685">_xlfn.IFS(I685&lt;30,"Young Adult", I685&lt;50,"Adult",I685 &gt;=50,"Seniors")</f>
        <v>Young Adult</v>
      </c>
      <c r="K685" s="4" t="s">
        <v>3</v>
      </c>
      <c r="L685" s="4">
        <v>2</v>
      </c>
      <c r="M685" s="5">
        <v>500</v>
      </c>
      <c r="N685">
        <f>L685*M685</f>
        <v>1000</v>
      </c>
      <c r="O685" s="15">
        <f>N685*$R$3</f>
        <v>15</v>
      </c>
    </row>
    <row r="686" spans="1:15">
      <c r="A686" s="2">
        <v>685</v>
      </c>
      <c r="B686" s="4">
        <f>YEAR(F686)</f>
        <v>2023</v>
      </c>
      <c r="C686" s="4">
        <f>MONTH(F686)</f>
        <v>6</v>
      </c>
      <c r="D686" s="4">
        <f>DAY(F686)</f>
        <v>2</v>
      </c>
      <c r="E686" s="4" t="str">
        <f t="shared" si="10"/>
        <v>Friday</v>
      </c>
      <c r="F686" s="3">
        <v>45079</v>
      </c>
      <c r="G686" s="4" t="s">
        <v>717</v>
      </c>
      <c r="H686" s="4" t="s">
        <v>8</v>
      </c>
      <c r="I686" s="4">
        <v>57</v>
      </c>
      <c r="J686" s="4" t="str" cm="1">
        <f t="array" ref="J686">_xlfn.IFS(I686&lt;30,"Young Adult", I686&lt;50,"Adult",I686 &gt;=50,"Seniors")</f>
        <v>Seniors</v>
      </c>
      <c r="K686" s="4" t="s">
        <v>4</v>
      </c>
      <c r="L686" s="4">
        <v>2</v>
      </c>
      <c r="M686" s="5">
        <v>25</v>
      </c>
      <c r="N686">
        <f>L686*M686</f>
        <v>50</v>
      </c>
      <c r="O686" s="15">
        <f>N686*$R$3</f>
        <v>0.75</v>
      </c>
    </row>
    <row r="687" spans="1:15">
      <c r="A687" s="2">
        <v>686</v>
      </c>
      <c r="B687" s="4">
        <f>YEAR(F687)</f>
        <v>2023</v>
      </c>
      <c r="C687" s="4">
        <f>MONTH(F687)</f>
        <v>7</v>
      </c>
      <c r="D687" s="4">
        <f>DAY(F687)</f>
        <v>19</v>
      </c>
      <c r="E687" s="4" t="str">
        <f t="shared" si="10"/>
        <v>Wednesday</v>
      </c>
      <c r="F687" s="3">
        <v>45126</v>
      </c>
      <c r="G687" s="4" t="s">
        <v>718</v>
      </c>
      <c r="H687" s="4" t="s">
        <v>7</v>
      </c>
      <c r="I687" s="4">
        <v>28</v>
      </c>
      <c r="J687" s="4" t="str" cm="1">
        <f t="array" ref="J687">_xlfn.IFS(I687&lt;30,"Young Adult", I687&lt;50,"Adult",I687 &gt;=50,"Seniors")</f>
        <v>Young Adult</v>
      </c>
      <c r="K687" s="4" t="s">
        <v>4</v>
      </c>
      <c r="L687" s="4">
        <v>4</v>
      </c>
      <c r="M687" s="5">
        <v>50</v>
      </c>
      <c r="N687">
        <f>L687*M687</f>
        <v>200</v>
      </c>
      <c r="O687" s="15">
        <f>N687*$R$3</f>
        <v>3</v>
      </c>
    </row>
    <row r="688" spans="1:15">
      <c r="A688" s="2">
        <v>687</v>
      </c>
      <c r="B688" s="4">
        <f>YEAR(F688)</f>
        <v>2023</v>
      </c>
      <c r="C688" s="4">
        <f>MONTH(F688)</f>
        <v>8</v>
      </c>
      <c r="D688" s="4">
        <f>DAY(F688)</f>
        <v>3</v>
      </c>
      <c r="E688" s="4" t="str">
        <f t="shared" si="10"/>
        <v>Thursday</v>
      </c>
      <c r="F688" s="3">
        <v>45141</v>
      </c>
      <c r="G688" s="4" t="s">
        <v>719</v>
      </c>
      <c r="H688" s="4" t="s">
        <v>7</v>
      </c>
      <c r="I688" s="4">
        <v>53</v>
      </c>
      <c r="J688" s="4" t="str" cm="1">
        <f t="array" ref="J688">_xlfn.IFS(I688&lt;30,"Young Adult", I688&lt;50,"Adult",I688 &gt;=50,"Seniors")</f>
        <v>Seniors</v>
      </c>
      <c r="K688" s="4" t="s">
        <v>4</v>
      </c>
      <c r="L688" s="4">
        <v>1</v>
      </c>
      <c r="M688" s="5">
        <v>300</v>
      </c>
      <c r="N688">
        <f>L688*M688</f>
        <v>300</v>
      </c>
      <c r="O688" s="15">
        <f>N688*$R$3</f>
        <v>4.5</v>
      </c>
    </row>
    <row r="689" spans="1:15">
      <c r="A689" s="2">
        <v>688</v>
      </c>
      <c r="B689" s="4">
        <f>YEAR(F689)</f>
        <v>2023</v>
      </c>
      <c r="C689" s="4">
        <f>MONTH(F689)</f>
        <v>10</v>
      </c>
      <c r="D689" s="4">
        <f>DAY(F689)</f>
        <v>3</v>
      </c>
      <c r="E689" s="4" t="str">
        <f t="shared" si="10"/>
        <v>Tuesday</v>
      </c>
      <c r="F689" s="3">
        <v>45202</v>
      </c>
      <c r="G689" s="4" t="s">
        <v>720</v>
      </c>
      <c r="H689" s="4" t="s">
        <v>8</v>
      </c>
      <c r="I689" s="4">
        <v>56</v>
      </c>
      <c r="J689" s="4" t="str" cm="1">
        <f t="array" ref="J689">_xlfn.IFS(I689&lt;30,"Young Adult", I689&lt;50,"Adult",I689 &gt;=50,"Seniors")</f>
        <v>Seniors</v>
      </c>
      <c r="K689" s="4" t="s">
        <v>3</v>
      </c>
      <c r="L689" s="4">
        <v>4</v>
      </c>
      <c r="M689" s="5">
        <v>25</v>
      </c>
      <c r="N689">
        <f>L689*M689</f>
        <v>100</v>
      </c>
      <c r="O689" s="15">
        <f>N689*$R$3</f>
        <v>1.5</v>
      </c>
    </row>
    <row r="690" spans="1:15">
      <c r="A690" s="2">
        <v>689</v>
      </c>
      <c r="B690" s="4">
        <f>YEAR(F690)</f>
        <v>2023</v>
      </c>
      <c r="C690" s="4">
        <f>MONTH(F690)</f>
        <v>10</v>
      </c>
      <c r="D690" s="4">
        <f>DAY(F690)</f>
        <v>7</v>
      </c>
      <c r="E690" s="4" t="str">
        <f t="shared" si="10"/>
        <v>Saturday</v>
      </c>
      <c r="F690" s="3">
        <v>45206</v>
      </c>
      <c r="G690" s="4" t="s">
        <v>721</v>
      </c>
      <c r="H690" s="4" t="s">
        <v>8</v>
      </c>
      <c r="I690" s="4">
        <v>57</v>
      </c>
      <c r="J690" s="4" t="str" cm="1">
        <f t="array" ref="J690">_xlfn.IFS(I690&lt;30,"Young Adult", I690&lt;50,"Adult",I690 &gt;=50,"Seniors")</f>
        <v>Seniors</v>
      </c>
      <c r="K690" s="4" t="s">
        <v>4</v>
      </c>
      <c r="L690" s="4">
        <v>2</v>
      </c>
      <c r="M690" s="5">
        <v>50</v>
      </c>
      <c r="N690">
        <f>L690*M690</f>
        <v>100</v>
      </c>
      <c r="O690" s="15">
        <f>N690*$R$3</f>
        <v>1.5</v>
      </c>
    </row>
    <row r="691" spans="1:15">
      <c r="A691" s="2">
        <v>690</v>
      </c>
      <c r="B691" s="4">
        <f>YEAR(F691)</f>
        <v>2023</v>
      </c>
      <c r="C691" s="4">
        <f>MONTH(F691)</f>
        <v>11</v>
      </c>
      <c r="D691" s="4">
        <f>DAY(F691)</f>
        <v>5</v>
      </c>
      <c r="E691" s="4" t="str">
        <f t="shared" si="10"/>
        <v>Sunday</v>
      </c>
      <c r="F691" s="3">
        <v>45235</v>
      </c>
      <c r="G691" s="4" t="s">
        <v>722</v>
      </c>
      <c r="H691" s="4" t="s">
        <v>7</v>
      </c>
      <c r="I691" s="4">
        <v>52</v>
      </c>
      <c r="J691" s="4" t="str" cm="1">
        <f t="array" ref="J691">_xlfn.IFS(I691&lt;30,"Young Adult", I691&lt;50,"Adult",I691 &gt;=50,"Seniors")</f>
        <v>Seniors</v>
      </c>
      <c r="K691" s="4" t="s">
        <v>3</v>
      </c>
      <c r="L691" s="4">
        <v>3</v>
      </c>
      <c r="M691" s="5">
        <v>300</v>
      </c>
      <c r="N691">
        <f>L691*M691</f>
        <v>900</v>
      </c>
      <c r="O691" s="15">
        <f>N691*$R$3</f>
        <v>13.5</v>
      </c>
    </row>
    <row r="692" spans="1:15">
      <c r="A692" s="2">
        <v>691</v>
      </c>
      <c r="B692" s="4">
        <f>YEAR(F692)</f>
        <v>2023</v>
      </c>
      <c r="C692" s="4">
        <f>MONTH(F692)</f>
        <v>4</v>
      </c>
      <c r="D692" s="4">
        <f>DAY(F692)</f>
        <v>23</v>
      </c>
      <c r="E692" s="4" t="str">
        <f t="shared" si="10"/>
        <v>Sunday</v>
      </c>
      <c r="F692" s="3">
        <v>45039</v>
      </c>
      <c r="G692" s="4" t="s">
        <v>723</v>
      </c>
      <c r="H692" s="4" t="s">
        <v>7</v>
      </c>
      <c r="I692" s="4">
        <v>51</v>
      </c>
      <c r="J692" s="4" t="str" cm="1">
        <f t="array" ref="J692">_xlfn.IFS(I692&lt;30,"Young Adult", I692&lt;50,"Adult",I692 &gt;=50,"Seniors")</f>
        <v>Seniors</v>
      </c>
      <c r="K692" s="4" t="s">
        <v>3</v>
      </c>
      <c r="L692" s="4">
        <v>3</v>
      </c>
      <c r="M692" s="5">
        <v>30</v>
      </c>
      <c r="N692">
        <f>L692*M692</f>
        <v>90</v>
      </c>
      <c r="O692" s="15">
        <f>N692*$R$3</f>
        <v>1.3499999999999999</v>
      </c>
    </row>
    <row r="693" spans="1:15">
      <c r="A693" s="2">
        <v>692</v>
      </c>
      <c r="B693" s="4">
        <f>YEAR(F693)</f>
        <v>2023</v>
      </c>
      <c r="C693" s="4">
        <f>MONTH(F693)</f>
        <v>9</v>
      </c>
      <c r="D693" s="4">
        <f>DAY(F693)</f>
        <v>7</v>
      </c>
      <c r="E693" s="4" t="str">
        <f t="shared" si="10"/>
        <v>Thursday</v>
      </c>
      <c r="F693" s="3">
        <v>45176</v>
      </c>
      <c r="G693" s="4" t="s">
        <v>724</v>
      </c>
      <c r="H693" s="4" t="s">
        <v>7</v>
      </c>
      <c r="I693" s="4">
        <v>64</v>
      </c>
      <c r="J693" s="4" t="str" cm="1">
        <f t="array" ref="J693">_xlfn.IFS(I693&lt;30,"Young Adult", I693&lt;50,"Adult",I693 &gt;=50,"Seniors")</f>
        <v>Seniors</v>
      </c>
      <c r="K693" s="4" t="s">
        <v>3</v>
      </c>
      <c r="L693" s="4">
        <v>2</v>
      </c>
      <c r="M693" s="5">
        <v>50</v>
      </c>
      <c r="N693">
        <f>L693*M693</f>
        <v>100</v>
      </c>
      <c r="O693" s="15">
        <f>N693*$R$3</f>
        <v>1.5</v>
      </c>
    </row>
    <row r="694" spans="1:15">
      <c r="A694" s="2">
        <v>693</v>
      </c>
      <c r="B694" s="4">
        <f>YEAR(F694)</f>
        <v>2023</v>
      </c>
      <c r="C694" s="4">
        <f>MONTH(F694)</f>
        <v>4</v>
      </c>
      <c r="D694" s="4">
        <f>DAY(F694)</f>
        <v>23</v>
      </c>
      <c r="E694" s="4" t="str">
        <f t="shared" si="10"/>
        <v>Sunday</v>
      </c>
      <c r="F694" s="3">
        <v>45039</v>
      </c>
      <c r="G694" s="4" t="s">
        <v>725</v>
      </c>
      <c r="H694" s="4" t="s">
        <v>8</v>
      </c>
      <c r="I694" s="4">
        <v>41</v>
      </c>
      <c r="J694" s="4" t="str" cm="1">
        <f t="array" ref="J694">_xlfn.IFS(I694&lt;30,"Young Adult", I694&lt;50,"Adult",I694 &gt;=50,"Seniors")</f>
        <v>Adult</v>
      </c>
      <c r="K694" s="4" t="s">
        <v>2</v>
      </c>
      <c r="L694" s="4">
        <v>3</v>
      </c>
      <c r="M694" s="5">
        <v>500</v>
      </c>
      <c r="N694">
        <f>L694*M694</f>
        <v>1500</v>
      </c>
      <c r="O694" s="15">
        <f>N694*$R$3</f>
        <v>22.5</v>
      </c>
    </row>
    <row r="695" spans="1:15">
      <c r="A695" s="2">
        <v>694</v>
      </c>
      <c r="B695" s="4">
        <f>YEAR(F695)</f>
        <v>2023</v>
      </c>
      <c r="C695" s="4">
        <f>MONTH(F695)</f>
        <v>5</v>
      </c>
      <c r="D695" s="4">
        <f>DAY(F695)</f>
        <v>20</v>
      </c>
      <c r="E695" s="4" t="str">
        <f t="shared" si="10"/>
        <v>Saturday</v>
      </c>
      <c r="F695" s="3">
        <v>45066</v>
      </c>
      <c r="G695" s="4" t="s">
        <v>726</v>
      </c>
      <c r="H695" s="4" t="s">
        <v>7</v>
      </c>
      <c r="I695" s="4">
        <v>39</v>
      </c>
      <c r="J695" s="4" t="str" cm="1">
        <f t="array" ref="J695">_xlfn.IFS(I695&lt;30,"Young Adult", I695&lt;50,"Adult",I695 &gt;=50,"Seniors")</f>
        <v>Adult</v>
      </c>
      <c r="K695" s="4" t="s">
        <v>4</v>
      </c>
      <c r="L695" s="4">
        <v>2</v>
      </c>
      <c r="M695" s="5">
        <v>25</v>
      </c>
      <c r="N695">
        <f>L695*M695</f>
        <v>50</v>
      </c>
      <c r="O695" s="15">
        <f>N695*$R$3</f>
        <v>0.75</v>
      </c>
    </row>
    <row r="696" spans="1:15">
      <c r="A696" s="2">
        <v>695</v>
      </c>
      <c r="B696" s="4">
        <f>YEAR(F696)</f>
        <v>2023</v>
      </c>
      <c r="C696" s="4">
        <f>MONTH(F696)</f>
        <v>8</v>
      </c>
      <c r="D696" s="4">
        <f>DAY(F696)</f>
        <v>12</v>
      </c>
      <c r="E696" s="4" t="str">
        <f t="shared" si="10"/>
        <v>Saturday</v>
      </c>
      <c r="F696" s="3">
        <v>45150</v>
      </c>
      <c r="G696" s="4" t="s">
        <v>727</v>
      </c>
      <c r="H696" s="4" t="s">
        <v>7</v>
      </c>
      <c r="I696" s="4">
        <v>22</v>
      </c>
      <c r="J696" s="4" t="str" cm="1">
        <f t="array" ref="J696">_xlfn.IFS(I696&lt;30,"Young Adult", I696&lt;50,"Adult",I696 &gt;=50,"Seniors")</f>
        <v>Young Adult</v>
      </c>
      <c r="K696" s="4" t="s">
        <v>4</v>
      </c>
      <c r="L696" s="4">
        <v>3</v>
      </c>
      <c r="M696" s="5">
        <v>50</v>
      </c>
      <c r="N696">
        <f>L696*M696</f>
        <v>150</v>
      </c>
      <c r="O696" s="15">
        <f>N696*$R$3</f>
        <v>2.25</v>
      </c>
    </row>
    <row r="697" spans="1:15">
      <c r="A697" s="2">
        <v>696</v>
      </c>
      <c r="B697" s="4">
        <f>YEAR(F697)</f>
        <v>2023</v>
      </c>
      <c r="C697" s="4">
        <f>MONTH(F697)</f>
        <v>9</v>
      </c>
      <c r="D697" s="4">
        <f>DAY(F697)</f>
        <v>6</v>
      </c>
      <c r="E697" s="4" t="str">
        <f t="shared" si="10"/>
        <v>Wednesday</v>
      </c>
      <c r="F697" s="3">
        <v>45175</v>
      </c>
      <c r="G697" s="4" t="s">
        <v>728</v>
      </c>
      <c r="H697" s="4" t="s">
        <v>7</v>
      </c>
      <c r="I697" s="4">
        <v>50</v>
      </c>
      <c r="J697" s="4" t="str" cm="1">
        <f t="array" ref="J697">_xlfn.IFS(I697&lt;30,"Young Adult", I697&lt;50,"Adult",I697 &gt;=50,"Seniors")</f>
        <v>Seniors</v>
      </c>
      <c r="K697" s="4" t="s">
        <v>3</v>
      </c>
      <c r="L697" s="4">
        <v>4</v>
      </c>
      <c r="M697" s="5">
        <v>50</v>
      </c>
      <c r="N697">
        <f>L697*M697</f>
        <v>200</v>
      </c>
      <c r="O697" s="15">
        <f>N697*$R$3</f>
        <v>3</v>
      </c>
    </row>
    <row r="698" spans="1:15">
      <c r="A698" s="2">
        <v>697</v>
      </c>
      <c r="B698" s="4">
        <f>YEAR(F698)</f>
        <v>2023</v>
      </c>
      <c r="C698" s="4">
        <f>MONTH(F698)</f>
        <v>1</v>
      </c>
      <c r="D698" s="4">
        <f>DAY(F698)</f>
        <v>15</v>
      </c>
      <c r="E698" s="4" t="str">
        <f t="shared" si="10"/>
        <v>Sunday</v>
      </c>
      <c r="F698" s="3">
        <v>44941</v>
      </c>
      <c r="G698" s="4" t="s">
        <v>729</v>
      </c>
      <c r="H698" s="4" t="s">
        <v>8</v>
      </c>
      <c r="I698" s="4">
        <v>53</v>
      </c>
      <c r="J698" s="4" t="str" cm="1">
        <f t="array" ref="J698">_xlfn.IFS(I698&lt;30,"Young Adult", I698&lt;50,"Adult",I698 &gt;=50,"Seniors")</f>
        <v>Seniors</v>
      </c>
      <c r="K698" s="4" t="s">
        <v>3</v>
      </c>
      <c r="L698" s="4">
        <v>1</v>
      </c>
      <c r="M698" s="5">
        <v>500</v>
      </c>
      <c r="N698">
        <f>L698*M698</f>
        <v>500</v>
      </c>
      <c r="O698" s="15">
        <f>N698*$R$3</f>
        <v>7.5</v>
      </c>
    </row>
    <row r="699" spans="1:15">
      <c r="A699" s="2">
        <v>698</v>
      </c>
      <c r="B699" s="4">
        <f>YEAR(F699)</f>
        <v>2023</v>
      </c>
      <c r="C699" s="4">
        <f>MONTH(F699)</f>
        <v>7</v>
      </c>
      <c r="D699" s="4">
        <f>DAY(F699)</f>
        <v>19</v>
      </c>
      <c r="E699" s="4" t="str">
        <f t="shared" si="10"/>
        <v>Wednesday</v>
      </c>
      <c r="F699" s="3">
        <v>45126</v>
      </c>
      <c r="G699" s="4" t="s">
        <v>730</v>
      </c>
      <c r="H699" s="4" t="s">
        <v>7</v>
      </c>
      <c r="I699" s="4">
        <v>64</v>
      </c>
      <c r="J699" s="4" t="str" cm="1">
        <f t="array" ref="J699">_xlfn.IFS(I699&lt;30,"Young Adult", I699&lt;50,"Adult",I699 &gt;=50,"Seniors")</f>
        <v>Seniors</v>
      </c>
      <c r="K699" s="4" t="s">
        <v>4</v>
      </c>
      <c r="L699" s="4">
        <v>1</v>
      </c>
      <c r="M699" s="5">
        <v>300</v>
      </c>
      <c r="N699">
        <f>L699*M699</f>
        <v>300</v>
      </c>
      <c r="O699" s="15">
        <f>N699*$R$3</f>
        <v>4.5</v>
      </c>
    </row>
    <row r="700" spans="1:15">
      <c r="A700" s="2">
        <v>699</v>
      </c>
      <c r="B700" s="4">
        <f>YEAR(F700)</f>
        <v>2023</v>
      </c>
      <c r="C700" s="4">
        <f>MONTH(F700)</f>
        <v>6</v>
      </c>
      <c r="D700" s="4">
        <f>DAY(F700)</f>
        <v>22</v>
      </c>
      <c r="E700" s="4" t="str">
        <f t="shared" si="10"/>
        <v>Thursday</v>
      </c>
      <c r="F700" s="3">
        <v>45099</v>
      </c>
      <c r="G700" s="4" t="s">
        <v>731</v>
      </c>
      <c r="H700" s="4" t="s">
        <v>7</v>
      </c>
      <c r="I700" s="4">
        <v>37</v>
      </c>
      <c r="J700" s="4" t="str" cm="1">
        <f t="array" ref="J700">_xlfn.IFS(I700&lt;30,"Young Adult", I700&lt;50,"Adult",I700 &gt;=50,"Seniors")</f>
        <v>Adult</v>
      </c>
      <c r="K700" s="4" t="s">
        <v>3</v>
      </c>
      <c r="L700" s="4">
        <v>4</v>
      </c>
      <c r="M700" s="5">
        <v>30</v>
      </c>
      <c r="N700">
        <f>L700*M700</f>
        <v>120</v>
      </c>
      <c r="O700" s="15">
        <f>N700*$R$3</f>
        <v>1.7999999999999998</v>
      </c>
    </row>
    <row r="701" spans="1:15">
      <c r="A701" s="2">
        <v>700</v>
      </c>
      <c r="B701" s="4">
        <f>YEAR(F701)</f>
        <v>2023</v>
      </c>
      <c r="C701" s="4">
        <f>MONTH(F701)</f>
        <v>12</v>
      </c>
      <c r="D701" s="4">
        <f>DAY(F701)</f>
        <v>9</v>
      </c>
      <c r="E701" s="4" t="str">
        <f t="shared" si="10"/>
        <v>Saturday</v>
      </c>
      <c r="F701" s="3">
        <v>45269</v>
      </c>
      <c r="G701" s="4" t="s">
        <v>732</v>
      </c>
      <c r="H701" s="4" t="s">
        <v>8</v>
      </c>
      <c r="I701" s="4">
        <v>36</v>
      </c>
      <c r="J701" s="4" t="str" cm="1">
        <f t="array" ref="J701">_xlfn.IFS(I701&lt;30,"Young Adult", I701&lt;50,"Adult",I701 &gt;=50,"Seniors")</f>
        <v>Adult</v>
      </c>
      <c r="K701" s="4" t="s">
        <v>4</v>
      </c>
      <c r="L701" s="4">
        <v>4</v>
      </c>
      <c r="M701" s="5">
        <v>500</v>
      </c>
      <c r="N701">
        <f>L701*M701</f>
        <v>2000</v>
      </c>
      <c r="O701" s="15">
        <f>N701*$R$3</f>
        <v>30</v>
      </c>
    </row>
    <row r="702" spans="1:15">
      <c r="A702" s="2">
        <v>701</v>
      </c>
      <c r="B702" s="4">
        <f>YEAR(F702)</f>
        <v>2023</v>
      </c>
      <c r="C702" s="4">
        <f>MONTH(F702)</f>
        <v>12</v>
      </c>
      <c r="D702" s="4">
        <f>DAY(F702)</f>
        <v>14</v>
      </c>
      <c r="E702" s="4" t="str">
        <f t="shared" si="10"/>
        <v>Thursday</v>
      </c>
      <c r="F702" s="3">
        <v>45274</v>
      </c>
      <c r="G702" s="4" t="s">
        <v>733</v>
      </c>
      <c r="H702" s="4" t="s">
        <v>7</v>
      </c>
      <c r="I702" s="4">
        <v>52</v>
      </c>
      <c r="J702" s="4" t="str" cm="1">
        <f t="array" ref="J702">_xlfn.IFS(I702&lt;30,"Young Adult", I702&lt;50,"Adult",I702 &gt;=50,"Seniors")</f>
        <v>Seniors</v>
      </c>
      <c r="K702" s="4" t="s">
        <v>2</v>
      </c>
      <c r="L702" s="4">
        <v>2</v>
      </c>
      <c r="M702" s="5">
        <v>30</v>
      </c>
      <c r="N702">
        <f>L702*M702</f>
        <v>60</v>
      </c>
      <c r="O702" s="15">
        <f>N702*$R$3</f>
        <v>0.89999999999999991</v>
      </c>
    </row>
    <row r="703" spans="1:15">
      <c r="A703" s="2">
        <v>702</v>
      </c>
      <c r="B703" s="4">
        <f>YEAR(F703)</f>
        <v>2023</v>
      </c>
      <c r="C703" s="4">
        <f>MONTH(F703)</f>
        <v>7</v>
      </c>
      <c r="D703" s="4">
        <f>DAY(F703)</f>
        <v>27</v>
      </c>
      <c r="E703" s="4" t="str">
        <f t="shared" si="10"/>
        <v>Thursday</v>
      </c>
      <c r="F703" s="3">
        <v>45134</v>
      </c>
      <c r="G703" s="4" t="s">
        <v>734</v>
      </c>
      <c r="H703" s="4" t="s">
        <v>7</v>
      </c>
      <c r="I703" s="4">
        <v>60</v>
      </c>
      <c r="J703" s="4" t="str" cm="1">
        <f t="array" ref="J703">_xlfn.IFS(I703&lt;30,"Young Adult", I703&lt;50,"Adult",I703 &gt;=50,"Seniors")</f>
        <v>Seniors</v>
      </c>
      <c r="K703" s="4" t="s">
        <v>3</v>
      </c>
      <c r="L703" s="4">
        <v>2</v>
      </c>
      <c r="M703" s="5">
        <v>300</v>
      </c>
      <c r="N703">
        <f>L703*M703</f>
        <v>600</v>
      </c>
      <c r="O703" s="15">
        <f>N703*$R$3</f>
        <v>9</v>
      </c>
    </row>
    <row r="704" spans="1:15">
      <c r="A704" s="2">
        <v>703</v>
      </c>
      <c r="B704" s="4">
        <f>YEAR(F704)</f>
        <v>2023</v>
      </c>
      <c r="C704" s="4">
        <f>MONTH(F704)</f>
        <v>3</v>
      </c>
      <c r="D704" s="4">
        <f>DAY(F704)</f>
        <v>26</v>
      </c>
      <c r="E704" s="4" t="str">
        <f t="shared" si="10"/>
        <v>Sunday</v>
      </c>
      <c r="F704" s="3">
        <v>45011</v>
      </c>
      <c r="G704" s="4" t="s">
        <v>735</v>
      </c>
      <c r="H704" s="4" t="s">
        <v>8</v>
      </c>
      <c r="I704" s="4">
        <v>34</v>
      </c>
      <c r="J704" s="4" t="str" cm="1">
        <f t="array" ref="J704">_xlfn.IFS(I704&lt;30,"Young Adult", I704&lt;50,"Adult",I704 &gt;=50,"Seniors")</f>
        <v>Adult</v>
      </c>
      <c r="K704" s="4" t="s">
        <v>4</v>
      </c>
      <c r="L704" s="4">
        <v>2</v>
      </c>
      <c r="M704" s="5">
        <v>50</v>
      </c>
      <c r="N704">
        <f>L704*M704</f>
        <v>100</v>
      </c>
      <c r="O704" s="15">
        <f>N704*$R$3</f>
        <v>1.5</v>
      </c>
    </row>
    <row r="705" spans="1:15">
      <c r="A705" s="2">
        <v>704</v>
      </c>
      <c r="B705" s="4">
        <f>YEAR(F705)</f>
        <v>2023</v>
      </c>
      <c r="C705" s="4">
        <f>MONTH(F705)</f>
        <v>8</v>
      </c>
      <c r="D705" s="4">
        <f>DAY(F705)</f>
        <v>28</v>
      </c>
      <c r="E705" s="4" t="str">
        <f t="shared" si="10"/>
        <v>Monday</v>
      </c>
      <c r="F705" s="3">
        <v>45166</v>
      </c>
      <c r="G705" s="4" t="s">
        <v>736</v>
      </c>
      <c r="H705" s="4" t="s">
        <v>7</v>
      </c>
      <c r="I705" s="4">
        <v>62</v>
      </c>
      <c r="J705" s="4" t="str" cm="1">
        <f t="array" ref="J705">_xlfn.IFS(I705&lt;30,"Young Adult", I705&lt;50,"Adult",I705 &gt;=50,"Seniors")</f>
        <v>Seniors</v>
      </c>
      <c r="K705" s="4" t="s">
        <v>3</v>
      </c>
      <c r="L705" s="4">
        <v>3</v>
      </c>
      <c r="M705" s="5">
        <v>30</v>
      </c>
      <c r="N705">
        <f>L705*M705</f>
        <v>90</v>
      </c>
      <c r="O705" s="15">
        <f>N705*$R$3</f>
        <v>1.3499999999999999</v>
      </c>
    </row>
    <row r="706" spans="1:15">
      <c r="A706" s="2">
        <v>705</v>
      </c>
      <c r="B706" s="4">
        <f>YEAR(F706)</f>
        <v>2023</v>
      </c>
      <c r="C706" s="4">
        <f>MONTH(F706)</f>
        <v>3</v>
      </c>
      <c r="D706" s="4">
        <f>DAY(F706)</f>
        <v>7</v>
      </c>
      <c r="E706" s="4" t="str">
        <f t="shared" si="10"/>
        <v>Tuesday</v>
      </c>
      <c r="F706" s="3">
        <v>44992</v>
      </c>
      <c r="G706" s="4" t="s">
        <v>737</v>
      </c>
      <c r="H706" s="4" t="s">
        <v>8</v>
      </c>
      <c r="I706" s="4">
        <v>60</v>
      </c>
      <c r="J706" s="4" t="str" cm="1">
        <f t="array" ref="J706">_xlfn.IFS(I706&lt;30,"Young Adult", I706&lt;50,"Adult",I706 &gt;=50,"Seniors")</f>
        <v>Seniors</v>
      </c>
      <c r="K706" s="4" t="s">
        <v>4</v>
      </c>
      <c r="L706" s="4">
        <v>2</v>
      </c>
      <c r="M706" s="5">
        <v>25</v>
      </c>
      <c r="N706">
        <f>L706*M706</f>
        <v>50</v>
      </c>
      <c r="O706" s="15">
        <f>N706*$R$3</f>
        <v>0.75</v>
      </c>
    </row>
    <row r="707" spans="1:15">
      <c r="A707" s="2">
        <v>706</v>
      </c>
      <c r="B707" s="4">
        <f>YEAR(F707)</f>
        <v>2023</v>
      </c>
      <c r="C707" s="4">
        <f>MONTH(F707)</f>
        <v>11</v>
      </c>
      <c r="D707" s="4">
        <f>DAY(F707)</f>
        <v>15</v>
      </c>
      <c r="E707" s="4" t="str">
        <f t="shared" ref="E707:E770" si="11">TEXT(F707,"dddd")</f>
        <v>Wednesday</v>
      </c>
      <c r="F707" s="3">
        <v>45245</v>
      </c>
      <c r="G707" s="4" t="s">
        <v>738</v>
      </c>
      <c r="H707" s="4" t="s">
        <v>8</v>
      </c>
      <c r="I707" s="4">
        <v>51</v>
      </c>
      <c r="J707" s="4" t="str" cm="1">
        <f t="array" ref="J707">_xlfn.IFS(I707&lt;30,"Young Adult", I707&lt;50,"Adult",I707 &gt;=50,"Seniors")</f>
        <v>Seniors</v>
      </c>
      <c r="K707" s="4" t="s">
        <v>4</v>
      </c>
      <c r="L707" s="4">
        <v>4</v>
      </c>
      <c r="M707" s="5">
        <v>25</v>
      </c>
      <c r="N707">
        <f>L707*M707</f>
        <v>100</v>
      </c>
      <c r="O707" s="15">
        <f>N707*$R$3</f>
        <v>1.5</v>
      </c>
    </row>
    <row r="708" spans="1:15">
      <c r="A708" s="2">
        <v>707</v>
      </c>
      <c r="B708" s="4">
        <f>YEAR(F708)</f>
        <v>2023</v>
      </c>
      <c r="C708" s="4">
        <f>MONTH(F708)</f>
        <v>10</v>
      </c>
      <c r="D708" s="4">
        <f>DAY(F708)</f>
        <v>1</v>
      </c>
      <c r="E708" s="4" t="str">
        <f t="shared" si="11"/>
        <v>Sunday</v>
      </c>
      <c r="F708" s="3">
        <v>45200</v>
      </c>
      <c r="G708" s="4" t="s">
        <v>739</v>
      </c>
      <c r="H708" s="4" t="s">
        <v>7</v>
      </c>
      <c r="I708" s="4">
        <v>26</v>
      </c>
      <c r="J708" s="4" t="str" cm="1">
        <f t="array" ref="J708">_xlfn.IFS(I708&lt;30,"Young Adult", I708&lt;50,"Adult",I708 &gt;=50,"Seniors")</f>
        <v>Young Adult</v>
      </c>
      <c r="K708" s="4" t="s">
        <v>3</v>
      </c>
      <c r="L708" s="4">
        <v>1</v>
      </c>
      <c r="M708" s="5">
        <v>500</v>
      </c>
      <c r="N708">
        <f>L708*M708</f>
        <v>500</v>
      </c>
      <c r="O708" s="15">
        <f>N708*$R$3</f>
        <v>7.5</v>
      </c>
    </row>
    <row r="709" spans="1:15">
      <c r="A709" s="2">
        <v>708</v>
      </c>
      <c r="B709" s="4">
        <f>YEAR(F709)</f>
        <v>2023</v>
      </c>
      <c r="C709" s="4">
        <f>MONTH(F709)</f>
        <v>1</v>
      </c>
      <c r="D709" s="4">
        <f>DAY(F709)</f>
        <v>14</v>
      </c>
      <c r="E709" s="4" t="str">
        <f t="shared" si="11"/>
        <v>Saturday</v>
      </c>
      <c r="F709" s="3">
        <v>44940</v>
      </c>
      <c r="G709" s="4" t="s">
        <v>740</v>
      </c>
      <c r="H709" s="4" t="s">
        <v>7</v>
      </c>
      <c r="I709" s="4">
        <v>43</v>
      </c>
      <c r="J709" s="4" t="str" cm="1">
        <f t="array" ref="J709">_xlfn.IFS(I709&lt;30,"Young Adult", I709&lt;50,"Adult",I709 &gt;=50,"Seniors")</f>
        <v>Adult</v>
      </c>
      <c r="K709" s="4" t="s">
        <v>2</v>
      </c>
      <c r="L709" s="4">
        <v>3</v>
      </c>
      <c r="M709" s="5">
        <v>300</v>
      </c>
      <c r="N709">
        <f>L709*M709</f>
        <v>900</v>
      </c>
      <c r="O709" s="15">
        <f>N709*$R$3</f>
        <v>13.5</v>
      </c>
    </row>
    <row r="710" spans="1:15">
      <c r="A710" s="2">
        <v>709</v>
      </c>
      <c r="B710" s="4">
        <f>YEAR(F710)</f>
        <v>2023</v>
      </c>
      <c r="C710" s="4">
        <f>MONTH(F710)</f>
        <v>7</v>
      </c>
      <c r="D710" s="4">
        <f>DAY(F710)</f>
        <v>21</v>
      </c>
      <c r="E710" s="4" t="str">
        <f t="shared" si="11"/>
        <v>Friday</v>
      </c>
      <c r="F710" s="3">
        <v>45128</v>
      </c>
      <c r="G710" s="4" t="s">
        <v>741</v>
      </c>
      <c r="H710" s="4" t="s">
        <v>7</v>
      </c>
      <c r="I710" s="4">
        <v>19</v>
      </c>
      <c r="J710" s="4" t="str" cm="1">
        <f t="array" ref="J710">_xlfn.IFS(I710&lt;30,"Young Adult", I710&lt;50,"Adult",I710 &gt;=50,"Seniors")</f>
        <v>Young Adult</v>
      </c>
      <c r="K710" s="4" t="s">
        <v>4</v>
      </c>
      <c r="L710" s="4">
        <v>2</v>
      </c>
      <c r="M710" s="5">
        <v>500</v>
      </c>
      <c r="N710">
        <f>L710*M710</f>
        <v>1000</v>
      </c>
      <c r="O710" s="15">
        <f>N710*$R$3</f>
        <v>15</v>
      </c>
    </row>
    <row r="711" spans="1:15">
      <c r="A711" s="2">
        <v>710</v>
      </c>
      <c r="B711" s="4">
        <f>YEAR(F711)</f>
        <v>2023</v>
      </c>
      <c r="C711" s="4">
        <f>MONTH(F711)</f>
        <v>10</v>
      </c>
      <c r="D711" s="4">
        <f>DAY(F711)</f>
        <v>31</v>
      </c>
      <c r="E711" s="4" t="str">
        <f t="shared" si="11"/>
        <v>Tuesday</v>
      </c>
      <c r="F711" s="3">
        <v>45230</v>
      </c>
      <c r="G711" s="4" t="s">
        <v>742</v>
      </c>
      <c r="H711" s="4" t="s">
        <v>7</v>
      </c>
      <c r="I711" s="4">
        <v>26</v>
      </c>
      <c r="J711" s="4" t="str" cm="1">
        <f t="array" ref="J711">_xlfn.IFS(I711&lt;30,"Young Adult", I711&lt;50,"Adult",I711 &gt;=50,"Seniors")</f>
        <v>Young Adult</v>
      </c>
      <c r="K711" s="4" t="s">
        <v>4</v>
      </c>
      <c r="L711" s="4">
        <v>3</v>
      </c>
      <c r="M711" s="5">
        <v>500</v>
      </c>
      <c r="N711">
        <f>L711*M711</f>
        <v>1500</v>
      </c>
      <c r="O711" s="15">
        <f>N711*$R$3</f>
        <v>22.5</v>
      </c>
    </row>
    <row r="712" spans="1:15">
      <c r="A712" s="2">
        <v>711</v>
      </c>
      <c r="B712" s="4">
        <f>YEAR(F712)</f>
        <v>2023</v>
      </c>
      <c r="C712" s="4">
        <f>MONTH(F712)</f>
        <v>10</v>
      </c>
      <c r="D712" s="4">
        <f>DAY(F712)</f>
        <v>16</v>
      </c>
      <c r="E712" s="4" t="str">
        <f t="shared" si="11"/>
        <v>Monday</v>
      </c>
      <c r="F712" s="3">
        <v>45215</v>
      </c>
      <c r="G712" s="4" t="s">
        <v>743</v>
      </c>
      <c r="H712" s="4" t="s">
        <v>8</v>
      </c>
      <c r="I712" s="4">
        <v>26</v>
      </c>
      <c r="J712" s="4" t="str" cm="1">
        <f t="array" ref="J712">_xlfn.IFS(I712&lt;30,"Young Adult", I712&lt;50,"Adult",I712 &gt;=50,"Seniors")</f>
        <v>Young Adult</v>
      </c>
      <c r="K712" s="4" t="s">
        <v>4</v>
      </c>
      <c r="L712" s="4">
        <v>3</v>
      </c>
      <c r="M712" s="5">
        <v>500</v>
      </c>
      <c r="N712">
        <f>L712*M712</f>
        <v>1500</v>
      </c>
      <c r="O712" s="15">
        <f>N712*$R$3</f>
        <v>22.5</v>
      </c>
    </row>
    <row r="713" spans="1:15">
      <c r="A713" s="2">
        <v>712</v>
      </c>
      <c r="B713" s="4">
        <f>YEAR(F713)</f>
        <v>2023</v>
      </c>
      <c r="C713" s="4">
        <f>MONTH(F713)</f>
        <v>12</v>
      </c>
      <c r="D713" s="4">
        <f>DAY(F713)</f>
        <v>6</v>
      </c>
      <c r="E713" s="4" t="str">
        <f t="shared" si="11"/>
        <v>Wednesday</v>
      </c>
      <c r="F713" s="3">
        <v>45266</v>
      </c>
      <c r="G713" s="4" t="s">
        <v>744</v>
      </c>
      <c r="H713" s="4" t="s">
        <v>7</v>
      </c>
      <c r="I713" s="4">
        <v>57</v>
      </c>
      <c r="J713" s="4" t="str" cm="1">
        <f t="array" ref="J713">_xlfn.IFS(I713&lt;30,"Young Adult", I713&lt;50,"Adult",I713 &gt;=50,"Seniors")</f>
        <v>Seniors</v>
      </c>
      <c r="K713" s="4" t="s">
        <v>2</v>
      </c>
      <c r="L713" s="4">
        <v>2</v>
      </c>
      <c r="M713" s="5">
        <v>25</v>
      </c>
      <c r="N713">
        <f>L713*M713</f>
        <v>50</v>
      </c>
      <c r="O713" s="15">
        <f>N713*$R$3</f>
        <v>0.75</v>
      </c>
    </row>
    <row r="714" spans="1:15">
      <c r="A714" s="2">
        <v>713</v>
      </c>
      <c r="B714" s="4">
        <f>YEAR(F714)</f>
        <v>2023</v>
      </c>
      <c r="C714" s="4">
        <f>MONTH(F714)</f>
        <v>1</v>
      </c>
      <c r="D714" s="4">
        <f>DAY(F714)</f>
        <v>14</v>
      </c>
      <c r="E714" s="4" t="str">
        <f t="shared" si="11"/>
        <v>Saturday</v>
      </c>
      <c r="F714" s="3">
        <v>44940</v>
      </c>
      <c r="G714" s="4" t="s">
        <v>745</v>
      </c>
      <c r="H714" s="4" t="s">
        <v>8</v>
      </c>
      <c r="I714" s="4">
        <v>34</v>
      </c>
      <c r="J714" s="4" t="str" cm="1">
        <f t="array" ref="J714">_xlfn.IFS(I714&lt;30,"Young Adult", I714&lt;50,"Adult",I714 &gt;=50,"Seniors")</f>
        <v>Adult</v>
      </c>
      <c r="K714" s="4" t="s">
        <v>2</v>
      </c>
      <c r="L714" s="4">
        <v>3</v>
      </c>
      <c r="M714" s="5">
        <v>25</v>
      </c>
      <c r="N714">
        <f>L714*M714</f>
        <v>75</v>
      </c>
      <c r="O714" s="15">
        <f>N714*$R$3</f>
        <v>1.125</v>
      </c>
    </row>
    <row r="715" spans="1:15">
      <c r="A715" s="2">
        <v>714</v>
      </c>
      <c r="B715" s="4">
        <f>YEAR(F715)</f>
        <v>2023</v>
      </c>
      <c r="C715" s="4">
        <f>MONTH(F715)</f>
        <v>2</v>
      </c>
      <c r="D715" s="4">
        <f>DAY(F715)</f>
        <v>12</v>
      </c>
      <c r="E715" s="4" t="str">
        <f t="shared" si="11"/>
        <v>Sunday</v>
      </c>
      <c r="F715" s="3">
        <v>44969</v>
      </c>
      <c r="G715" s="4" t="s">
        <v>746</v>
      </c>
      <c r="H715" s="4" t="s">
        <v>7</v>
      </c>
      <c r="I715" s="4">
        <v>18</v>
      </c>
      <c r="J715" s="4" t="str" cm="1">
        <f t="array" ref="J715">_xlfn.IFS(I715&lt;30,"Young Adult", I715&lt;50,"Adult",I715 &gt;=50,"Seniors")</f>
        <v>Young Adult</v>
      </c>
      <c r="K715" s="4" t="s">
        <v>3</v>
      </c>
      <c r="L715" s="4">
        <v>1</v>
      </c>
      <c r="M715" s="5">
        <v>500</v>
      </c>
      <c r="N715">
        <f>L715*M715</f>
        <v>500</v>
      </c>
      <c r="O715" s="15">
        <f>N715*$R$3</f>
        <v>7.5</v>
      </c>
    </row>
    <row r="716" spans="1:15">
      <c r="A716" s="2">
        <v>715</v>
      </c>
      <c r="B716" s="4">
        <f>YEAR(F716)</f>
        <v>2023</v>
      </c>
      <c r="C716" s="4">
        <f>MONTH(F716)</f>
        <v>11</v>
      </c>
      <c r="D716" s="4">
        <f>DAY(F716)</f>
        <v>26</v>
      </c>
      <c r="E716" s="4" t="str">
        <f t="shared" si="11"/>
        <v>Sunday</v>
      </c>
      <c r="F716" s="3">
        <v>45256</v>
      </c>
      <c r="G716" s="4" t="s">
        <v>747</v>
      </c>
      <c r="H716" s="4" t="s">
        <v>7</v>
      </c>
      <c r="I716" s="4">
        <v>42</v>
      </c>
      <c r="J716" s="4" t="str" cm="1">
        <f t="array" ref="J716">_xlfn.IFS(I716&lt;30,"Young Adult", I716&lt;50,"Adult",I716 &gt;=50,"Seniors")</f>
        <v>Adult</v>
      </c>
      <c r="K716" s="4" t="s">
        <v>2</v>
      </c>
      <c r="L716" s="4">
        <v>4</v>
      </c>
      <c r="M716" s="5">
        <v>25</v>
      </c>
      <c r="N716">
        <f>L716*M716</f>
        <v>100</v>
      </c>
      <c r="O716" s="15">
        <f>N716*$R$3</f>
        <v>1.5</v>
      </c>
    </row>
    <row r="717" spans="1:15">
      <c r="A717" s="2">
        <v>716</v>
      </c>
      <c r="B717" s="4">
        <f>YEAR(F717)</f>
        <v>2023</v>
      </c>
      <c r="C717" s="4">
        <f>MONTH(F717)</f>
        <v>8</v>
      </c>
      <c r="D717" s="4">
        <f>DAY(F717)</f>
        <v>8</v>
      </c>
      <c r="E717" s="4" t="str">
        <f t="shared" si="11"/>
        <v>Tuesday</v>
      </c>
      <c r="F717" s="3">
        <v>45146</v>
      </c>
      <c r="G717" s="4" t="s">
        <v>748</v>
      </c>
      <c r="H717" s="4" t="s">
        <v>7</v>
      </c>
      <c r="I717" s="4">
        <v>60</v>
      </c>
      <c r="J717" s="4" t="str" cm="1">
        <f t="array" ref="J717">_xlfn.IFS(I717&lt;30,"Young Adult", I717&lt;50,"Adult",I717 &gt;=50,"Seniors")</f>
        <v>Seniors</v>
      </c>
      <c r="K717" s="4" t="s">
        <v>3</v>
      </c>
      <c r="L717" s="4">
        <v>4</v>
      </c>
      <c r="M717" s="5">
        <v>300</v>
      </c>
      <c r="N717">
        <f>L717*M717</f>
        <v>1200</v>
      </c>
      <c r="O717" s="15">
        <f>N717*$R$3</f>
        <v>18</v>
      </c>
    </row>
    <row r="718" spans="1:15">
      <c r="A718" s="2">
        <v>717</v>
      </c>
      <c r="B718" s="4">
        <f>YEAR(F718)</f>
        <v>2023</v>
      </c>
      <c r="C718" s="4">
        <f>MONTH(F718)</f>
        <v>3</v>
      </c>
      <c r="D718" s="4">
        <f>DAY(F718)</f>
        <v>11</v>
      </c>
      <c r="E718" s="4" t="str">
        <f t="shared" si="11"/>
        <v>Saturday</v>
      </c>
      <c r="F718" s="3">
        <v>44996</v>
      </c>
      <c r="G718" s="4" t="s">
        <v>749</v>
      </c>
      <c r="H718" s="4" t="s">
        <v>8</v>
      </c>
      <c r="I718" s="4">
        <v>57</v>
      </c>
      <c r="J718" s="4" t="str" cm="1">
        <f t="array" ref="J718">_xlfn.IFS(I718&lt;30,"Young Adult", I718&lt;50,"Adult",I718 &gt;=50,"Seniors")</f>
        <v>Seniors</v>
      </c>
      <c r="K718" s="4" t="s">
        <v>3</v>
      </c>
      <c r="L718" s="4">
        <v>1</v>
      </c>
      <c r="M718" s="5">
        <v>500</v>
      </c>
      <c r="N718">
        <f>L718*M718</f>
        <v>500</v>
      </c>
      <c r="O718" s="15">
        <f>N718*$R$3</f>
        <v>7.5</v>
      </c>
    </row>
    <row r="719" spans="1:15">
      <c r="A719" s="2">
        <v>718</v>
      </c>
      <c r="B719" s="4">
        <f>YEAR(F719)</f>
        <v>2023</v>
      </c>
      <c r="C719" s="4">
        <f>MONTH(F719)</f>
        <v>8</v>
      </c>
      <c r="D719" s="4">
        <f>DAY(F719)</f>
        <v>25</v>
      </c>
      <c r="E719" s="4" t="str">
        <f t="shared" si="11"/>
        <v>Friday</v>
      </c>
      <c r="F719" s="3">
        <v>45163</v>
      </c>
      <c r="G719" s="4" t="s">
        <v>750</v>
      </c>
      <c r="H719" s="4" t="s">
        <v>7</v>
      </c>
      <c r="I719" s="4">
        <v>59</v>
      </c>
      <c r="J719" s="4" t="str" cm="1">
        <f t="array" ref="J719">_xlfn.IFS(I719&lt;30,"Young Adult", I719&lt;50,"Adult",I719 &gt;=50,"Seniors")</f>
        <v>Seniors</v>
      </c>
      <c r="K719" s="4" t="s">
        <v>2</v>
      </c>
      <c r="L719" s="4">
        <v>3</v>
      </c>
      <c r="M719" s="5">
        <v>25</v>
      </c>
      <c r="N719">
        <f>L719*M719</f>
        <v>75</v>
      </c>
      <c r="O719" s="15">
        <f>N719*$R$3</f>
        <v>1.125</v>
      </c>
    </row>
    <row r="720" spans="1:15">
      <c r="A720" s="2">
        <v>719</v>
      </c>
      <c r="B720" s="4">
        <f>YEAR(F720)</f>
        <v>2023</v>
      </c>
      <c r="C720" s="4">
        <f>MONTH(F720)</f>
        <v>4</v>
      </c>
      <c r="D720" s="4">
        <f>DAY(F720)</f>
        <v>4</v>
      </c>
      <c r="E720" s="4" t="str">
        <f t="shared" si="11"/>
        <v>Tuesday</v>
      </c>
      <c r="F720" s="3">
        <v>45020</v>
      </c>
      <c r="G720" s="4" t="s">
        <v>751</v>
      </c>
      <c r="H720" s="4" t="s">
        <v>7</v>
      </c>
      <c r="I720" s="4">
        <v>42</v>
      </c>
      <c r="J720" s="4" t="str" cm="1">
        <f t="array" ref="J720">_xlfn.IFS(I720&lt;30,"Young Adult", I720&lt;50,"Adult",I720 &gt;=50,"Seniors")</f>
        <v>Adult</v>
      </c>
      <c r="K720" s="4" t="s">
        <v>3</v>
      </c>
      <c r="L720" s="4">
        <v>2</v>
      </c>
      <c r="M720" s="5">
        <v>30</v>
      </c>
      <c r="N720">
        <f>L720*M720</f>
        <v>60</v>
      </c>
      <c r="O720" s="15">
        <f>N720*$R$3</f>
        <v>0.89999999999999991</v>
      </c>
    </row>
    <row r="721" spans="1:15">
      <c r="A721" s="2">
        <v>720</v>
      </c>
      <c r="B721" s="4">
        <f>YEAR(F721)</f>
        <v>2023</v>
      </c>
      <c r="C721" s="4">
        <f>MONTH(F721)</f>
        <v>1</v>
      </c>
      <c r="D721" s="4">
        <f>DAY(F721)</f>
        <v>26</v>
      </c>
      <c r="E721" s="4" t="str">
        <f t="shared" si="11"/>
        <v>Thursday</v>
      </c>
      <c r="F721" s="3">
        <v>44952</v>
      </c>
      <c r="G721" s="4" t="s">
        <v>752</v>
      </c>
      <c r="H721" s="4" t="s">
        <v>7</v>
      </c>
      <c r="I721" s="4">
        <v>56</v>
      </c>
      <c r="J721" s="4" t="str" cm="1">
        <f t="array" ref="J721">_xlfn.IFS(I721&lt;30,"Young Adult", I721&lt;50,"Adult",I721 &gt;=50,"Seniors")</f>
        <v>Seniors</v>
      </c>
      <c r="K721" s="4" t="s">
        <v>2</v>
      </c>
      <c r="L721" s="4">
        <v>3</v>
      </c>
      <c r="M721" s="5">
        <v>500</v>
      </c>
      <c r="N721">
        <f>L721*M721</f>
        <v>1500</v>
      </c>
      <c r="O721" s="15">
        <f>N721*$R$3</f>
        <v>22.5</v>
      </c>
    </row>
    <row r="722" spans="1:15">
      <c r="A722" s="2">
        <v>721</v>
      </c>
      <c r="B722" s="4">
        <f>YEAR(F722)</f>
        <v>2023</v>
      </c>
      <c r="C722" s="4">
        <f>MONTH(F722)</f>
        <v>5</v>
      </c>
      <c r="D722" s="4">
        <f>DAY(F722)</f>
        <v>14</v>
      </c>
      <c r="E722" s="4" t="str">
        <f t="shared" si="11"/>
        <v>Sunday</v>
      </c>
      <c r="F722" s="3">
        <v>45060</v>
      </c>
      <c r="G722" s="4" t="s">
        <v>753</v>
      </c>
      <c r="H722" s="4" t="s">
        <v>7</v>
      </c>
      <c r="I722" s="4">
        <v>52</v>
      </c>
      <c r="J722" s="4" t="str" cm="1">
        <f t="array" ref="J722">_xlfn.IFS(I722&lt;30,"Young Adult", I722&lt;50,"Adult",I722 &gt;=50,"Seniors")</f>
        <v>Seniors</v>
      </c>
      <c r="K722" s="4" t="s">
        <v>3</v>
      </c>
      <c r="L722" s="4">
        <v>1</v>
      </c>
      <c r="M722" s="5">
        <v>500</v>
      </c>
      <c r="N722">
        <f>L722*M722</f>
        <v>500</v>
      </c>
      <c r="O722" s="15">
        <f>N722*$R$3</f>
        <v>7.5</v>
      </c>
    </row>
    <row r="723" spans="1:15">
      <c r="A723" s="2">
        <v>722</v>
      </c>
      <c r="B723" s="4">
        <f>YEAR(F723)</f>
        <v>2023</v>
      </c>
      <c r="C723" s="4">
        <f>MONTH(F723)</f>
        <v>7</v>
      </c>
      <c r="D723" s="4">
        <f>DAY(F723)</f>
        <v>14</v>
      </c>
      <c r="E723" s="4" t="str">
        <f t="shared" si="11"/>
        <v>Friday</v>
      </c>
      <c r="F723" s="3">
        <v>45121</v>
      </c>
      <c r="G723" s="4" t="s">
        <v>754</v>
      </c>
      <c r="H723" s="4" t="s">
        <v>8</v>
      </c>
      <c r="I723" s="4">
        <v>20</v>
      </c>
      <c r="J723" s="4" t="str" cm="1">
        <f t="array" ref="J723">_xlfn.IFS(I723&lt;30,"Young Adult", I723&lt;50,"Adult",I723 &gt;=50,"Seniors")</f>
        <v>Young Adult</v>
      </c>
      <c r="K723" s="4" t="s">
        <v>2</v>
      </c>
      <c r="L723" s="4">
        <v>3</v>
      </c>
      <c r="M723" s="5">
        <v>300</v>
      </c>
      <c r="N723">
        <f>L723*M723</f>
        <v>900</v>
      </c>
      <c r="O723" s="15">
        <f>N723*$R$3</f>
        <v>13.5</v>
      </c>
    </row>
    <row r="724" spans="1:15">
      <c r="A724" s="2">
        <v>723</v>
      </c>
      <c r="B724" s="4">
        <f>YEAR(F724)</f>
        <v>2023</v>
      </c>
      <c r="C724" s="4">
        <f>MONTH(F724)</f>
        <v>6</v>
      </c>
      <c r="D724" s="4">
        <f>DAY(F724)</f>
        <v>17</v>
      </c>
      <c r="E724" s="4" t="str">
        <f t="shared" si="11"/>
        <v>Saturday</v>
      </c>
      <c r="F724" s="3">
        <v>45094</v>
      </c>
      <c r="G724" s="4" t="s">
        <v>755</v>
      </c>
      <c r="H724" s="4" t="s">
        <v>7</v>
      </c>
      <c r="I724" s="4">
        <v>54</v>
      </c>
      <c r="J724" s="4" t="str" cm="1">
        <f t="array" ref="J724">_xlfn.IFS(I724&lt;30,"Young Adult", I724&lt;50,"Adult",I724 &gt;=50,"Seniors")</f>
        <v>Seniors</v>
      </c>
      <c r="K724" s="4" t="s">
        <v>2</v>
      </c>
      <c r="L724" s="4">
        <v>4</v>
      </c>
      <c r="M724" s="5">
        <v>50</v>
      </c>
      <c r="N724">
        <f>L724*M724</f>
        <v>200</v>
      </c>
      <c r="O724" s="15">
        <f>N724*$R$3</f>
        <v>3</v>
      </c>
    </row>
    <row r="725" spans="1:15">
      <c r="A725" s="2">
        <v>724</v>
      </c>
      <c r="B725" s="4">
        <f>YEAR(F725)</f>
        <v>2023</v>
      </c>
      <c r="C725" s="4">
        <f>MONTH(F725)</f>
        <v>4</v>
      </c>
      <c r="D725" s="4">
        <f>DAY(F725)</f>
        <v>19</v>
      </c>
      <c r="E725" s="4" t="str">
        <f t="shared" si="11"/>
        <v>Wednesday</v>
      </c>
      <c r="F725" s="3">
        <v>45035</v>
      </c>
      <c r="G725" s="4" t="s">
        <v>756</v>
      </c>
      <c r="H725" s="4" t="s">
        <v>8</v>
      </c>
      <c r="I725" s="4">
        <v>61</v>
      </c>
      <c r="J725" s="4" t="str" cm="1">
        <f t="array" ref="J725">_xlfn.IFS(I725&lt;30,"Young Adult", I725&lt;50,"Adult",I725 &gt;=50,"Seniors")</f>
        <v>Seniors</v>
      </c>
      <c r="K725" s="4" t="s">
        <v>3</v>
      </c>
      <c r="L725" s="4">
        <v>3</v>
      </c>
      <c r="M725" s="5">
        <v>50</v>
      </c>
      <c r="N725">
        <f>L725*M725</f>
        <v>150</v>
      </c>
      <c r="O725" s="15">
        <f>N725*$R$3</f>
        <v>2.25</v>
      </c>
    </row>
    <row r="726" spans="1:15">
      <c r="A726" s="2">
        <v>725</v>
      </c>
      <c r="B726" s="4">
        <f>YEAR(F726)</f>
        <v>2023</v>
      </c>
      <c r="C726" s="4">
        <f>MONTH(F726)</f>
        <v>8</v>
      </c>
      <c r="D726" s="4">
        <f>DAY(F726)</f>
        <v>21</v>
      </c>
      <c r="E726" s="4" t="str">
        <f t="shared" si="11"/>
        <v>Monday</v>
      </c>
      <c r="F726" s="3">
        <v>45159</v>
      </c>
      <c r="G726" s="4" t="s">
        <v>757</v>
      </c>
      <c r="H726" s="4" t="s">
        <v>8</v>
      </c>
      <c r="I726" s="4">
        <v>61</v>
      </c>
      <c r="J726" s="4" t="str" cm="1">
        <f t="array" ref="J726">_xlfn.IFS(I726&lt;30,"Young Adult", I726&lt;50,"Adult",I726 &gt;=50,"Seniors")</f>
        <v>Seniors</v>
      </c>
      <c r="K726" s="4" t="s">
        <v>4</v>
      </c>
      <c r="L726" s="4">
        <v>1</v>
      </c>
      <c r="M726" s="5">
        <v>300</v>
      </c>
      <c r="N726">
        <f>L726*M726</f>
        <v>300</v>
      </c>
      <c r="O726" s="15">
        <f>N726*$R$3</f>
        <v>4.5</v>
      </c>
    </row>
    <row r="727" spans="1:15">
      <c r="A727" s="2">
        <v>726</v>
      </c>
      <c r="B727" s="4">
        <f>YEAR(F727)</f>
        <v>2023</v>
      </c>
      <c r="C727" s="4">
        <f>MONTH(F727)</f>
        <v>6</v>
      </c>
      <c r="D727" s="4">
        <f>DAY(F727)</f>
        <v>17</v>
      </c>
      <c r="E727" s="4" t="str">
        <f t="shared" si="11"/>
        <v>Saturday</v>
      </c>
      <c r="F727" s="3">
        <v>45094</v>
      </c>
      <c r="G727" s="4" t="s">
        <v>758</v>
      </c>
      <c r="H727" s="4" t="s">
        <v>8</v>
      </c>
      <c r="I727" s="4">
        <v>47</v>
      </c>
      <c r="J727" s="4" t="str" cm="1">
        <f t="array" ref="J727">_xlfn.IFS(I727&lt;30,"Young Adult", I727&lt;50,"Adult",I727 &gt;=50,"Seniors")</f>
        <v>Adult</v>
      </c>
      <c r="K727" s="4" t="s">
        <v>3</v>
      </c>
      <c r="L727" s="4">
        <v>4</v>
      </c>
      <c r="M727" s="5">
        <v>300</v>
      </c>
      <c r="N727">
        <f>L727*M727</f>
        <v>1200</v>
      </c>
      <c r="O727" s="15">
        <f>N727*$R$3</f>
        <v>18</v>
      </c>
    </row>
    <row r="728" spans="1:15">
      <c r="A728" s="2">
        <v>727</v>
      </c>
      <c r="B728" s="4">
        <f>YEAR(F728)</f>
        <v>2023</v>
      </c>
      <c r="C728" s="4">
        <f>MONTH(F728)</f>
        <v>6</v>
      </c>
      <c r="D728" s="4">
        <f>DAY(F728)</f>
        <v>22</v>
      </c>
      <c r="E728" s="4" t="str">
        <f t="shared" si="11"/>
        <v>Thursday</v>
      </c>
      <c r="F728" s="3">
        <v>45099</v>
      </c>
      <c r="G728" s="4" t="s">
        <v>759</v>
      </c>
      <c r="H728" s="4" t="s">
        <v>8</v>
      </c>
      <c r="I728" s="4">
        <v>55</v>
      </c>
      <c r="J728" s="4" t="str" cm="1">
        <f t="array" ref="J728">_xlfn.IFS(I728&lt;30,"Young Adult", I728&lt;50,"Adult",I728 &gt;=50,"Seniors")</f>
        <v>Seniors</v>
      </c>
      <c r="K728" s="4" t="s">
        <v>2</v>
      </c>
      <c r="L728" s="4">
        <v>3</v>
      </c>
      <c r="M728" s="5">
        <v>300</v>
      </c>
      <c r="N728">
        <f>L728*M728</f>
        <v>900</v>
      </c>
      <c r="O728" s="15">
        <f>N728*$R$3</f>
        <v>13.5</v>
      </c>
    </row>
    <row r="729" spans="1:15">
      <c r="A729" s="2">
        <v>728</v>
      </c>
      <c r="B729" s="4">
        <f>YEAR(F729)</f>
        <v>2023</v>
      </c>
      <c r="C729" s="4">
        <f>MONTH(F729)</f>
        <v>7</v>
      </c>
      <c r="D729" s="4">
        <f>DAY(F729)</f>
        <v>14</v>
      </c>
      <c r="E729" s="4" t="str">
        <f t="shared" si="11"/>
        <v>Friday</v>
      </c>
      <c r="F729" s="3">
        <v>45121</v>
      </c>
      <c r="G729" s="4" t="s">
        <v>760</v>
      </c>
      <c r="H729" s="4" t="s">
        <v>8</v>
      </c>
      <c r="I729" s="4">
        <v>51</v>
      </c>
      <c r="J729" s="4" t="str" cm="1">
        <f t="array" ref="J729">_xlfn.IFS(I729&lt;30,"Young Adult", I729&lt;50,"Adult",I729 &gt;=50,"Seniors")</f>
        <v>Seniors</v>
      </c>
      <c r="K729" s="4" t="s">
        <v>4</v>
      </c>
      <c r="L729" s="4">
        <v>3</v>
      </c>
      <c r="M729" s="5">
        <v>50</v>
      </c>
      <c r="N729">
        <f>L729*M729</f>
        <v>150</v>
      </c>
      <c r="O729" s="15">
        <f>N729*$R$3</f>
        <v>2.25</v>
      </c>
    </row>
    <row r="730" spans="1:15">
      <c r="A730" s="2">
        <v>729</v>
      </c>
      <c r="B730" s="4">
        <f>YEAR(F730)</f>
        <v>2023</v>
      </c>
      <c r="C730" s="4">
        <f>MONTH(F730)</f>
        <v>5</v>
      </c>
      <c r="D730" s="4">
        <f>DAY(F730)</f>
        <v>23</v>
      </c>
      <c r="E730" s="4" t="str">
        <f t="shared" si="11"/>
        <v>Tuesday</v>
      </c>
      <c r="F730" s="3">
        <v>45069</v>
      </c>
      <c r="G730" s="4" t="s">
        <v>761</v>
      </c>
      <c r="H730" s="4" t="s">
        <v>8</v>
      </c>
      <c r="I730" s="4">
        <v>29</v>
      </c>
      <c r="J730" s="4" t="str" cm="1">
        <f t="array" ref="J730">_xlfn.IFS(I730&lt;30,"Young Adult", I730&lt;50,"Adult",I730 &gt;=50,"Seniors")</f>
        <v>Young Adult</v>
      </c>
      <c r="K730" s="4" t="s">
        <v>3</v>
      </c>
      <c r="L730" s="4">
        <v>4</v>
      </c>
      <c r="M730" s="5">
        <v>300</v>
      </c>
      <c r="N730">
        <f>L730*M730</f>
        <v>1200</v>
      </c>
      <c r="O730" s="15">
        <f>N730*$R$3</f>
        <v>18</v>
      </c>
    </row>
    <row r="731" spans="1:15">
      <c r="A731" s="2">
        <v>730</v>
      </c>
      <c r="B731" s="4">
        <f>YEAR(F731)</f>
        <v>2023</v>
      </c>
      <c r="C731" s="4">
        <f>MONTH(F731)</f>
        <v>8</v>
      </c>
      <c r="D731" s="4">
        <f>DAY(F731)</f>
        <v>4</v>
      </c>
      <c r="E731" s="4" t="str">
        <f t="shared" si="11"/>
        <v>Friday</v>
      </c>
      <c r="F731" s="3">
        <v>45142</v>
      </c>
      <c r="G731" s="4" t="s">
        <v>762</v>
      </c>
      <c r="H731" s="4" t="s">
        <v>7</v>
      </c>
      <c r="I731" s="4">
        <v>36</v>
      </c>
      <c r="J731" s="4" t="str" cm="1">
        <f t="array" ref="J731">_xlfn.IFS(I731&lt;30,"Young Adult", I731&lt;50,"Adult",I731 &gt;=50,"Seniors")</f>
        <v>Adult</v>
      </c>
      <c r="K731" s="4" t="s">
        <v>3</v>
      </c>
      <c r="L731" s="4">
        <v>2</v>
      </c>
      <c r="M731" s="5">
        <v>25</v>
      </c>
      <c r="N731">
        <f>L731*M731</f>
        <v>50</v>
      </c>
      <c r="O731" s="15">
        <f>N731*$R$3</f>
        <v>0.75</v>
      </c>
    </row>
    <row r="732" spans="1:15">
      <c r="A732" s="2">
        <v>731</v>
      </c>
      <c r="B732" s="4">
        <f>YEAR(F732)</f>
        <v>2023</v>
      </c>
      <c r="C732" s="4">
        <f>MONTH(F732)</f>
        <v>5</v>
      </c>
      <c r="D732" s="4">
        <f>DAY(F732)</f>
        <v>10</v>
      </c>
      <c r="E732" s="4" t="str">
        <f t="shared" si="11"/>
        <v>Wednesday</v>
      </c>
      <c r="F732" s="3">
        <v>45056</v>
      </c>
      <c r="G732" s="4" t="s">
        <v>763</v>
      </c>
      <c r="H732" s="4" t="s">
        <v>8</v>
      </c>
      <c r="I732" s="4">
        <v>54</v>
      </c>
      <c r="J732" s="4" t="str" cm="1">
        <f t="array" ref="J732">_xlfn.IFS(I732&lt;30,"Young Adult", I732&lt;50,"Adult",I732 &gt;=50,"Seniors")</f>
        <v>Seniors</v>
      </c>
      <c r="K732" s="4" t="s">
        <v>3</v>
      </c>
      <c r="L732" s="4">
        <v>4</v>
      </c>
      <c r="M732" s="5">
        <v>500</v>
      </c>
      <c r="N732">
        <f>L732*M732</f>
        <v>2000</v>
      </c>
      <c r="O732" s="15">
        <f>N732*$R$3</f>
        <v>30</v>
      </c>
    </row>
    <row r="733" spans="1:15">
      <c r="A733" s="2">
        <v>732</v>
      </c>
      <c r="B733" s="4">
        <f>YEAR(F733)</f>
        <v>2023</v>
      </c>
      <c r="C733" s="4">
        <f>MONTH(F733)</f>
        <v>2</v>
      </c>
      <c r="D733" s="4">
        <f>DAY(F733)</f>
        <v>11</v>
      </c>
      <c r="E733" s="4" t="str">
        <f t="shared" si="11"/>
        <v>Saturday</v>
      </c>
      <c r="F733" s="3">
        <v>44968</v>
      </c>
      <c r="G733" s="4" t="s">
        <v>764</v>
      </c>
      <c r="H733" s="4" t="s">
        <v>8</v>
      </c>
      <c r="I733" s="4">
        <v>61</v>
      </c>
      <c r="J733" s="4" t="str" cm="1">
        <f t="array" ref="J733">_xlfn.IFS(I733&lt;30,"Young Adult", I733&lt;50,"Adult",I733 &gt;=50,"Seniors")</f>
        <v>Seniors</v>
      </c>
      <c r="K733" s="4" t="s">
        <v>4</v>
      </c>
      <c r="L733" s="4">
        <v>2</v>
      </c>
      <c r="M733" s="5">
        <v>500</v>
      </c>
      <c r="N733">
        <f>L733*M733</f>
        <v>1000</v>
      </c>
      <c r="O733" s="15">
        <f>N733*$R$3</f>
        <v>15</v>
      </c>
    </row>
    <row r="734" spans="1:15">
      <c r="A734" s="2">
        <v>733</v>
      </c>
      <c r="B734" s="4">
        <f>YEAR(F734)</f>
        <v>2023</v>
      </c>
      <c r="C734" s="4">
        <f>MONTH(F734)</f>
        <v>8</v>
      </c>
      <c r="D734" s="4">
        <f>DAY(F734)</f>
        <v>29</v>
      </c>
      <c r="E734" s="4" t="str">
        <f t="shared" si="11"/>
        <v>Tuesday</v>
      </c>
      <c r="F734" s="3">
        <v>45167</v>
      </c>
      <c r="G734" s="4" t="s">
        <v>765</v>
      </c>
      <c r="H734" s="4" t="s">
        <v>8</v>
      </c>
      <c r="I734" s="4">
        <v>34</v>
      </c>
      <c r="J734" s="4" t="str" cm="1">
        <f t="array" ref="J734">_xlfn.IFS(I734&lt;30,"Young Adult", I734&lt;50,"Adult",I734 &gt;=50,"Seniors")</f>
        <v>Adult</v>
      </c>
      <c r="K734" s="4" t="s">
        <v>2</v>
      </c>
      <c r="L734" s="4">
        <v>1</v>
      </c>
      <c r="M734" s="5">
        <v>30</v>
      </c>
      <c r="N734">
        <f>L734*M734</f>
        <v>30</v>
      </c>
      <c r="O734" s="15">
        <f>N734*$R$3</f>
        <v>0.44999999999999996</v>
      </c>
    </row>
    <row r="735" spans="1:15">
      <c r="A735" s="2">
        <v>734</v>
      </c>
      <c r="B735" s="4">
        <f>YEAR(F735)</f>
        <v>2023</v>
      </c>
      <c r="C735" s="4">
        <f>MONTH(F735)</f>
        <v>1</v>
      </c>
      <c r="D735" s="4">
        <f>DAY(F735)</f>
        <v>10</v>
      </c>
      <c r="E735" s="4" t="str">
        <f t="shared" si="11"/>
        <v>Tuesday</v>
      </c>
      <c r="F735" s="3">
        <v>44936</v>
      </c>
      <c r="G735" s="4" t="s">
        <v>766</v>
      </c>
      <c r="H735" s="4" t="s">
        <v>7</v>
      </c>
      <c r="I735" s="4">
        <v>27</v>
      </c>
      <c r="J735" s="4" t="str" cm="1">
        <f t="array" ref="J735">_xlfn.IFS(I735&lt;30,"Young Adult", I735&lt;50,"Adult",I735 &gt;=50,"Seniors")</f>
        <v>Young Adult</v>
      </c>
      <c r="K735" s="4" t="s">
        <v>3</v>
      </c>
      <c r="L735" s="4">
        <v>1</v>
      </c>
      <c r="M735" s="5">
        <v>30</v>
      </c>
      <c r="N735">
        <f>L735*M735</f>
        <v>30</v>
      </c>
      <c r="O735" s="15">
        <f>N735*$R$3</f>
        <v>0.44999999999999996</v>
      </c>
    </row>
    <row r="736" spans="1:15">
      <c r="A736" s="2">
        <v>735</v>
      </c>
      <c r="B736" s="4">
        <f>YEAR(F736)</f>
        <v>2023</v>
      </c>
      <c r="C736" s="4">
        <f>MONTH(F736)</f>
        <v>10</v>
      </c>
      <c r="D736" s="4">
        <f>DAY(F736)</f>
        <v>4</v>
      </c>
      <c r="E736" s="4" t="str">
        <f t="shared" si="11"/>
        <v>Wednesday</v>
      </c>
      <c r="F736" s="3">
        <v>45203</v>
      </c>
      <c r="G736" s="4" t="s">
        <v>767</v>
      </c>
      <c r="H736" s="4" t="s">
        <v>7</v>
      </c>
      <c r="I736" s="4">
        <v>64</v>
      </c>
      <c r="J736" s="4" t="str" cm="1">
        <f t="array" ref="J736">_xlfn.IFS(I736&lt;30,"Young Adult", I736&lt;50,"Adult",I736 &gt;=50,"Seniors")</f>
        <v>Seniors</v>
      </c>
      <c r="K736" s="4" t="s">
        <v>3</v>
      </c>
      <c r="L736" s="4">
        <v>4</v>
      </c>
      <c r="M736" s="5">
        <v>500</v>
      </c>
      <c r="N736">
        <f>L736*M736</f>
        <v>2000</v>
      </c>
      <c r="O736" s="15">
        <f>N736*$R$3</f>
        <v>30</v>
      </c>
    </row>
    <row r="737" spans="1:15">
      <c r="A737" s="2">
        <v>736</v>
      </c>
      <c r="B737" s="4">
        <f>YEAR(F737)</f>
        <v>2023</v>
      </c>
      <c r="C737" s="4">
        <f>MONTH(F737)</f>
        <v>1</v>
      </c>
      <c r="D737" s="4">
        <f>DAY(F737)</f>
        <v>27</v>
      </c>
      <c r="E737" s="4" t="str">
        <f t="shared" si="11"/>
        <v>Friday</v>
      </c>
      <c r="F737" s="3">
        <v>44953</v>
      </c>
      <c r="G737" s="4" t="s">
        <v>768</v>
      </c>
      <c r="H737" s="4" t="s">
        <v>8</v>
      </c>
      <c r="I737" s="4">
        <v>29</v>
      </c>
      <c r="J737" s="4" t="str" cm="1">
        <f t="array" ref="J737">_xlfn.IFS(I737&lt;30,"Young Adult", I737&lt;50,"Adult",I737 &gt;=50,"Seniors")</f>
        <v>Young Adult</v>
      </c>
      <c r="K737" s="4" t="s">
        <v>3</v>
      </c>
      <c r="L737" s="4">
        <v>4</v>
      </c>
      <c r="M737" s="5">
        <v>25</v>
      </c>
      <c r="N737">
        <f>L737*M737</f>
        <v>100</v>
      </c>
      <c r="O737" s="15">
        <f>N737*$R$3</f>
        <v>1.5</v>
      </c>
    </row>
    <row r="738" spans="1:15">
      <c r="A738" s="2">
        <v>737</v>
      </c>
      <c r="B738" s="4">
        <f>YEAR(F738)</f>
        <v>2023</v>
      </c>
      <c r="C738" s="4">
        <f>MONTH(F738)</f>
        <v>6</v>
      </c>
      <c r="D738" s="4">
        <f>DAY(F738)</f>
        <v>29</v>
      </c>
      <c r="E738" s="4" t="str">
        <f t="shared" si="11"/>
        <v>Thursday</v>
      </c>
      <c r="F738" s="3">
        <v>45106</v>
      </c>
      <c r="G738" s="4" t="s">
        <v>769</v>
      </c>
      <c r="H738" s="4" t="s">
        <v>7</v>
      </c>
      <c r="I738" s="4">
        <v>33</v>
      </c>
      <c r="J738" s="4" t="str" cm="1">
        <f t="array" ref="J738">_xlfn.IFS(I738&lt;30,"Young Adult", I738&lt;50,"Adult",I738 &gt;=50,"Seniors")</f>
        <v>Adult</v>
      </c>
      <c r="K738" s="4" t="s">
        <v>3</v>
      </c>
      <c r="L738" s="4">
        <v>1</v>
      </c>
      <c r="M738" s="5">
        <v>50</v>
      </c>
      <c r="N738">
        <f>L738*M738</f>
        <v>50</v>
      </c>
      <c r="O738" s="15">
        <f>N738*$R$3</f>
        <v>0.75</v>
      </c>
    </row>
    <row r="739" spans="1:15">
      <c r="A739" s="2">
        <v>738</v>
      </c>
      <c r="B739" s="4">
        <f>YEAR(F739)</f>
        <v>2023</v>
      </c>
      <c r="C739" s="4">
        <f>MONTH(F739)</f>
        <v>4</v>
      </c>
      <c r="D739" s="4">
        <f>DAY(F739)</f>
        <v>25</v>
      </c>
      <c r="E739" s="4" t="str">
        <f t="shared" si="11"/>
        <v>Tuesday</v>
      </c>
      <c r="F739" s="3">
        <v>45041</v>
      </c>
      <c r="G739" s="4" t="s">
        <v>770</v>
      </c>
      <c r="H739" s="4" t="s">
        <v>8</v>
      </c>
      <c r="I739" s="4">
        <v>41</v>
      </c>
      <c r="J739" s="4" t="str" cm="1">
        <f t="array" ref="J739">_xlfn.IFS(I739&lt;30,"Young Adult", I739&lt;50,"Adult",I739 &gt;=50,"Seniors")</f>
        <v>Adult</v>
      </c>
      <c r="K739" s="4" t="s">
        <v>3</v>
      </c>
      <c r="L739" s="4">
        <v>2</v>
      </c>
      <c r="M739" s="5">
        <v>50</v>
      </c>
      <c r="N739">
        <f>L739*M739</f>
        <v>100</v>
      </c>
      <c r="O739" s="15">
        <f>N739*$R$3</f>
        <v>1.5</v>
      </c>
    </row>
    <row r="740" spans="1:15">
      <c r="A740" s="2">
        <v>739</v>
      </c>
      <c r="B740" s="4">
        <f>YEAR(F740)</f>
        <v>2023</v>
      </c>
      <c r="C740" s="4">
        <f>MONTH(F740)</f>
        <v>11</v>
      </c>
      <c r="D740" s="4">
        <f>DAY(F740)</f>
        <v>29</v>
      </c>
      <c r="E740" s="4" t="str">
        <f t="shared" si="11"/>
        <v>Wednesday</v>
      </c>
      <c r="F740" s="3">
        <v>45259</v>
      </c>
      <c r="G740" s="4" t="s">
        <v>771</v>
      </c>
      <c r="H740" s="4" t="s">
        <v>8</v>
      </c>
      <c r="I740" s="4">
        <v>36</v>
      </c>
      <c r="J740" s="4" t="str" cm="1">
        <f t="array" ref="J740">_xlfn.IFS(I740&lt;30,"Young Adult", I740&lt;50,"Adult",I740 &gt;=50,"Seniors")</f>
        <v>Adult</v>
      </c>
      <c r="K740" s="4" t="s">
        <v>2</v>
      </c>
      <c r="L740" s="4">
        <v>1</v>
      </c>
      <c r="M740" s="5">
        <v>25</v>
      </c>
      <c r="N740">
        <f>L740*M740</f>
        <v>25</v>
      </c>
      <c r="O740" s="15">
        <f>N740*$R$3</f>
        <v>0.375</v>
      </c>
    </row>
    <row r="741" spans="1:15">
      <c r="A741" s="2">
        <v>740</v>
      </c>
      <c r="B741" s="4">
        <f>YEAR(F741)</f>
        <v>2023</v>
      </c>
      <c r="C741" s="4">
        <f>MONTH(F741)</f>
        <v>2</v>
      </c>
      <c r="D741" s="4">
        <f>DAY(F741)</f>
        <v>5</v>
      </c>
      <c r="E741" s="4" t="str">
        <f t="shared" si="11"/>
        <v>Sunday</v>
      </c>
      <c r="F741" s="3">
        <v>44962</v>
      </c>
      <c r="G741" s="4" t="s">
        <v>772</v>
      </c>
      <c r="H741" s="4" t="s">
        <v>7</v>
      </c>
      <c r="I741" s="4">
        <v>25</v>
      </c>
      <c r="J741" s="4" t="str" cm="1">
        <f t="array" ref="J741">_xlfn.IFS(I741&lt;30,"Young Adult", I741&lt;50,"Adult",I741 &gt;=50,"Seniors")</f>
        <v>Young Adult</v>
      </c>
      <c r="K741" s="4" t="s">
        <v>2</v>
      </c>
      <c r="L741" s="4">
        <v>4</v>
      </c>
      <c r="M741" s="5">
        <v>50</v>
      </c>
      <c r="N741">
        <f>L741*M741</f>
        <v>200</v>
      </c>
      <c r="O741" s="15">
        <f>N741*$R$3</f>
        <v>3</v>
      </c>
    </row>
    <row r="742" spans="1:15">
      <c r="A742" s="2">
        <v>741</v>
      </c>
      <c r="B742" s="4">
        <f>YEAR(F742)</f>
        <v>2023</v>
      </c>
      <c r="C742" s="4">
        <f>MONTH(F742)</f>
        <v>11</v>
      </c>
      <c r="D742" s="4">
        <f>DAY(F742)</f>
        <v>30</v>
      </c>
      <c r="E742" s="4" t="str">
        <f t="shared" si="11"/>
        <v>Thursday</v>
      </c>
      <c r="F742" s="3">
        <v>45260</v>
      </c>
      <c r="G742" s="4" t="s">
        <v>773</v>
      </c>
      <c r="H742" s="4" t="s">
        <v>8</v>
      </c>
      <c r="I742" s="4">
        <v>48</v>
      </c>
      <c r="J742" s="4" t="str" cm="1">
        <f t="array" ref="J742">_xlfn.IFS(I742&lt;30,"Young Adult", I742&lt;50,"Adult",I742 &gt;=50,"Seniors")</f>
        <v>Adult</v>
      </c>
      <c r="K742" s="4" t="s">
        <v>3</v>
      </c>
      <c r="L742" s="4">
        <v>1</v>
      </c>
      <c r="M742" s="5">
        <v>300</v>
      </c>
      <c r="N742">
        <f>L742*M742</f>
        <v>300</v>
      </c>
      <c r="O742" s="15">
        <f>N742*$R$3</f>
        <v>4.5</v>
      </c>
    </row>
    <row r="743" spans="1:15">
      <c r="A743" s="2">
        <v>742</v>
      </c>
      <c r="B743" s="4">
        <f>YEAR(F743)</f>
        <v>2023</v>
      </c>
      <c r="C743" s="4">
        <f>MONTH(F743)</f>
        <v>1</v>
      </c>
      <c r="D743" s="4">
        <f>DAY(F743)</f>
        <v>21</v>
      </c>
      <c r="E743" s="4" t="str">
        <f t="shared" si="11"/>
        <v>Saturday</v>
      </c>
      <c r="F743" s="3">
        <v>44947</v>
      </c>
      <c r="G743" s="4" t="s">
        <v>774</v>
      </c>
      <c r="H743" s="4" t="s">
        <v>7</v>
      </c>
      <c r="I743" s="4">
        <v>38</v>
      </c>
      <c r="J743" s="4" t="str" cm="1">
        <f t="array" ref="J743">_xlfn.IFS(I743&lt;30,"Young Adult", I743&lt;50,"Adult",I743 &gt;=50,"Seniors")</f>
        <v>Adult</v>
      </c>
      <c r="K743" s="4" t="s">
        <v>4</v>
      </c>
      <c r="L743" s="4">
        <v>4</v>
      </c>
      <c r="M743" s="5">
        <v>500</v>
      </c>
      <c r="N743">
        <f>L743*M743</f>
        <v>2000</v>
      </c>
      <c r="O743" s="15">
        <f>N743*$R$3</f>
        <v>30</v>
      </c>
    </row>
    <row r="744" spans="1:15">
      <c r="A744" s="2">
        <v>743</v>
      </c>
      <c r="B744" s="4">
        <f>YEAR(F744)</f>
        <v>2023</v>
      </c>
      <c r="C744" s="4">
        <f>MONTH(F744)</f>
        <v>1</v>
      </c>
      <c r="D744" s="4">
        <f>DAY(F744)</f>
        <v>16</v>
      </c>
      <c r="E744" s="4" t="str">
        <f t="shared" si="11"/>
        <v>Monday</v>
      </c>
      <c r="F744" s="3">
        <v>44942</v>
      </c>
      <c r="G744" s="4" t="s">
        <v>775</v>
      </c>
      <c r="H744" s="4" t="s">
        <v>7</v>
      </c>
      <c r="I744" s="4">
        <v>34</v>
      </c>
      <c r="J744" s="4" t="str" cm="1">
        <f t="array" ref="J744">_xlfn.IFS(I744&lt;30,"Young Adult", I744&lt;50,"Adult",I744 &gt;=50,"Seniors")</f>
        <v>Adult</v>
      </c>
      <c r="K744" s="4" t="s">
        <v>2</v>
      </c>
      <c r="L744" s="4">
        <v>4</v>
      </c>
      <c r="M744" s="5">
        <v>500</v>
      </c>
      <c r="N744">
        <f>L744*M744</f>
        <v>2000</v>
      </c>
      <c r="O744" s="15">
        <f>N744*$R$3</f>
        <v>30</v>
      </c>
    </row>
    <row r="745" spans="1:15">
      <c r="A745" s="2">
        <v>744</v>
      </c>
      <c r="B745" s="4">
        <f>YEAR(F745)</f>
        <v>2023</v>
      </c>
      <c r="C745" s="4">
        <f>MONTH(F745)</f>
        <v>5</v>
      </c>
      <c r="D745" s="4">
        <f>DAY(F745)</f>
        <v>7</v>
      </c>
      <c r="E745" s="4" t="str">
        <f t="shared" si="11"/>
        <v>Sunday</v>
      </c>
      <c r="F745" s="3">
        <v>45053</v>
      </c>
      <c r="G745" s="4" t="s">
        <v>776</v>
      </c>
      <c r="H745" s="4" t="s">
        <v>8</v>
      </c>
      <c r="I745" s="4">
        <v>40</v>
      </c>
      <c r="J745" s="4" t="str" cm="1">
        <f t="array" ref="J745">_xlfn.IFS(I745&lt;30,"Young Adult", I745&lt;50,"Adult",I745 &gt;=50,"Seniors")</f>
        <v>Adult</v>
      </c>
      <c r="K745" s="4" t="s">
        <v>4</v>
      </c>
      <c r="L745" s="4">
        <v>1</v>
      </c>
      <c r="M745" s="5">
        <v>25</v>
      </c>
      <c r="N745">
        <f>L745*M745</f>
        <v>25</v>
      </c>
      <c r="O745" s="15">
        <f>N745*$R$3</f>
        <v>0.375</v>
      </c>
    </row>
    <row r="746" spans="1:15">
      <c r="A746" s="2">
        <v>745</v>
      </c>
      <c r="B746" s="4">
        <f>YEAR(F746)</f>
        <v>2023</v>
      </c>
      <c r="C746" s="4">
        <f>MONTH(F746)</f>
        <v>4</v>
      </c>
      <c r="D746" s="4">
        <f>DAY(F746)</f>
        <v>13</v>
      </c>
      <c r="E746" s="4" t="str">
        <f t="shared" si="11"/>
        <v>Thursday</v>
      </c>
      <c r="F746" s="3">
        <v>45029</v>
      </c>
      <c r="G746" s="4" t="s">
        <v>777</v>
      </c>
      <c r="H746" s="4" t="s">
        <v>8</v>
      </c>
      <c r="I746" s="4">
        <v>54</v>
      </c>
      <c r="J746" s="4" t="str" cm="1">
        <f t="array" ref="J746">_xlfn.IFS(I746&lt;30,"Young Adult", I746&lt;50,"Adult",I746 &gt;=50,"Seniors")</f>
        <v>Seniors</v>
      </c>
      <c r="K746" s="4" t="s">
        <v>2</v>
      </c>
      <c r="L746" s="4">
        <v>2</v>
      </c>
      <c r="M746" s="5">
        <v>50</v>
      </c>
      <c r="N746">
        <f>L746*M746</f>
        <v>100</v>
      </c>
      <c r="O746" s="15">
        <f>N746*$R$3</f>
        <v>1.5</v>
      </c>
    </row>
    <row r="747" spans="1:15">
      <c r="A747" s="2">
        <v>746</v>
      </c>
      <c r="B747" s="4">
        <f>YEAR(F747)</f>
        <v>2023</v>
      </c>
      <c r="C747" s="4">
        <f>MONTH(F747)</f>
        <v>1</v>
      </c>
      <c r="D747" s="4">
        <f>DAY(F747)</f>
        <v>11</v>
      </c>
      <c r="E747" s="4" t="str">
        <f t="shared" si="11"/>
        <v>Wednesday</v>
      </c>
      <c r="F747" s="3">
        <v>44937</v>
      </c>
      <c r="G747" s="4" t="s">
        <v>778</v>
      </c>
      <c r="H747" s="4" t="s">
        <v>7</v>
      </c>
      <c r="I747" s="4">
        <v>33</v>
      </c>
      <c r="J747" s="4" t="str" cm="1">
        <f t="array" ref="J747">_xlfn.IFS(I747&lt;30,"Young Adult", I747&lt;50,"Adult",I747 &gt;=50,"Seniors")</f>
        <v>Adult</v>
      </c>
      <c r="K747" s="4" t="s">
        <v>3</v>
      </c>
      <c r="L747" s="4">
        <v>3</v>
      </c>
      <c r="M747" s="5">
        <v>30</v>
      </c>
      <c r="N747">
        <f>L747*M747</f>
        <v>90</v>
      </c>
      <c r="O747" s="15">
        <f>N747*$R$3</f>
        <v>1.3499999999999999</v>
      </c>
    </row>
    <row r="748" spans="1:15">
      <c r="A748" s="2">
        <v>747</v>
      </c>
      <c r="B748" s="4">
        <f>YEAR(F748)</f>
        <v>2023</v>
      </c>
      <c r="C748" s="4">
        <f>MONTH(F748)</f>
        <v>11</v>
      </c>
      <c r="D748" s="4">
        <f>DAY(F748)</f>
        <v>15</v>
      </c>
      <c r="E748" s="4" t="str">
        <f t="shared" si="11"/>
        <v>Wednesday</v>
      </c>
      <c r="F748" s="3">
        <v>45245</v>
      </c>
      <c r="G748" s="4" t="s">
        <v>779</v>
      </c>
      <c r="H748" s="4" t="s">
        <v>8</v>
      </c>
      <c r="I748" s="4">
        <v>23</v>
      </c>
      <c r="J748" s="4" t="str" cm="1">
        <f t="array" ref="J748">_xlfn.IFS(I748&lt;30,"Young Adult", I748&lt;50,"Adult",I748 &gt;=50,"Seniors")</f>
        <v>Young Adult</v>
      </c>
      <c r="K748" s="4" t="s">
        <v>2</v>
      </c>
      <c r="L748" s="4">
        <v>1</v>
      </c>
      <c r="M748" s="5">
        <v>30</v>
      </c>
      <c r="N748">
        <f>L748*M748</f>
        <v>30</v>
      </c>
      <c r="O748" s="15">
        <f>N748*$R$3</f>
        <v>0.44999999999999996</v>
      </c>
    </row>
    <row r="749" spans="1:15">
      <c r="A749" s="2">
        <v>748</v>
      </c>
      <c r="B749" s="4">
        <f>YEAR(F749)</f>
        <v>2023</v>
      </c>
      <c r="C749" s="4">
        <f>MONTH(F749)</f>
        <v>3</v>
      </c>
      <c r="D749" s="4">
        <f>DAY(F749)</f>
        <v>20</v>
      </c>
      <c r="E749" s="4" t="str">
        <f t="shared" si="11"/>
        <v>Monday</v>
      </c>
      <c r="F749" s="3">
        <v>45005</v>
      </c>
      <c r="G749" s="4" t="s">
        <v>780</v>
      </c>
      <c r="H749" s="4" t="s">
        <v>8</v>
      </c>
      <c r="I749" s="4">
        <v>25</v>
      </c>
      <c r="J749" s="4" t="str" cm="1">
        <f t="array" ref="J749">_xlfn.IFS(I749&lt;30,"Young Adult", I749&lt;50,"Adult",I749 &gt;=50,"Seniors")</f>
        <v>Young Adult</v>
      </c>
      <c r="K749" s="4" t="s">
        <v>3</v>
      </c>
      <c r="L749" s="4">
        <v>3</v>
      </c>
      <c r="M749" s="5">
        <v>50</v>
      </c>
      <c r="N749">
        <f>L749*M749</f>
        <v>150</v>
      </c>
      <c r="O749" s="15">
        <f>N749*$R$3</f>
        <v>2.25</v>
      </c>
    </row>
    <row r="750" spans="1:15">
      <c r="A750" s="2">
        <v>749</v>
      </c>
      <c r="B750" s="4">
        <f>YEAR(F750)</f>
        <v>2023</v>
      </c>
      <c r="C750" s="4">
        <f>MONTH(F750)</f>
        <v>5</v>
      </c>
      <c r="D750" s="4">
        <f>DAY(F750)</f>
        <v>3</v>
      </c>
      <c r="E750" s="4" t="str">
        <f t="shared" si="11"/>
        <v>Wednesday</v>
      </c>
      <c r="F750" s="3">
        <v>45049</v>
      </c>
      <c r="G750" s="4" t="s">
        <v>781</v>
      </c>
      <c r="H750" s="4" t="s">
        <v>8</v>
      </c>
      <c r="I750" s="4">
        <v>42</v>
      </c>
      <c r="J750" s="4" t="str" cm="1">
        <f t="array" ref="J750">_xlfn.IFS(I750&lt;30,"Young Adult", I750&lt;50,"Adult",I750 &gt;=50,"Seniors")</f>
        <v>Adult</v>
      </c>
      <c r="K750" s="4" t="s">
        <v>2</v>
      </c>
      <c r="L750" s="4">
        <v>1</v>
      </c>
      <c r="M750" s="5">
        <v>30</v>
      </c>
      <c r="N750">
        <f>L750*M750</f>
        <v>30</v>
      </c>
      <c r="O750" s="15">
        <f>N750*$R$3</f>
        <v>0.44999999999999996</v>
      </c>
    </row>
    <row r="751" spans="1:15">
      <c r="A751" s="2">
        <v>750</v>
      </c>
      <c r="B751" s="4">
        <f>YEAR(F751)</f>
        <v>2023</v>
      </c>
      <c r="C751" s="4">
        <f>MONTH(F751)</f>
        <v>3</v>
      </c>
      <c r="D751" s="4">
        <f>DAY(F751)</f>
        <v>6</v>
      </c>
      <c r="E751" s="4" t="str">
        <f t="shared" si="11"/>
        <v>Monday</v>
      </c>
      <c r="F751" s="3">
        <v>44991</v>
      </c>
      <c r="G751" s="4" t="s">
        <v>782</v>
      </c>
      <c r="H751" s="4" t="s">
        <v>7</v>
      </c>
      <c r="I751" s="4">
        <v>35</v>
      </c>
      <c r="J751" s="4" t="str" cm="1">
        <f t="array" ref="J751">_xlfn.IFS(I751&lt;30,"Young Adult", I751&lt;50,"Adult",I751 &gt;=50,"Seniors")</f>
        <v>Adult</v>
      </c>
      <c r="K751" s="4" t="s">
        <v>3</v>
      </c>
      <c r="L751" s="4">
        <v>3</v>
      </c>
      <c r="M751" s="5">
        <v>25</v>
      </c>
      <c r="N751">
        <f>L751*M751</f>
        <v>75</v>
      </c>
      <c r="O751" s="15">
        <f>N751*$R$3</f>
        <v>1.125</v>
      </c>
    </row>
    <row r="752" spans="1:15">
      <c r="A752" s="2">
        <v>751</v>
      </c>
      <c r="B752" s="4">
        <f>YEAR(F752)</f>
        <v>2023</v>
      </c>
      <c r="C752" s="4">
        <f>MONTH(F752)</f>
        <v>8</v>
      </c>
      <c r="D752" s="4">
        <f>DAY(F752)</f>
        <v>31</v>
      </c>
      <c r="E752" s="4" t="str">
        <f t="shared" si="11"/>
        <v>Thursday</v>
      </c>
      <c r="F752" s="3">
        <v>45169</v>
      </c>
      <c r="G752" s="4" t="s">
        <v>783</v>
      </c>
      <c r="H752" s="4" t="s">
        <v>7</v>
      </c>
      <c r="I752" s="4">
        <v>42</v>
      </c>
      <c r="J752" s="4" t="str" cm="1">
        <f t="array" ref="J752">_xlfn.IFS(I752&lt;30,"Young Adult", I752&lt;50,"Adult",I752 &gt;=50,"Seniors")</f>
        <v>Adult</v>
      </c>
      <c r="K752" s="4" t="s">
        <v>3</v>
      </c>
      <c r="L752" s="4">
        <v>2</v>
      </c>
      <c r="M752" s="5">
        <v>25</v>
      </c>
      <c r="N752">
        <f>L752*M752</f>
        <v>50</v>
      </c>
      <c r="O752" s="15">
        <f>N752*$R$3</f>
        <v>0.75</v>
      </c>
    </row>
    <row r="753" spans="1:15">
      <c r="A753" s="2">
        <v>752</v>
      </c>
      <c r="B753" s="4">
        <f>YEAR(F753)</f>
        <v>2023</v>
      </c>
      <c r="C753" s="4">
        <f>MONTH(F753)</f>
        <v>12</v>
      </c>
      <c r="D753" s="4">
        <f>DAY(F753)</f>
        <v>9</v>
      </c>
      <c r="E753" s="4" t="str">
        <f t="shared" si="11"/>
        <v>Saturday</v>
      </c>
      <c r="F753" s="3">
        <v>45269</v>
      </c>
      <c r="G753" s="4" t="s">
        <v>784</v>
      </c>
      <c r="H753" s="4" t="s">
        <v>8</v>
      </c>
      <c r="I753" s="4">
        <v>29</v>
      </c>
      <c r="J753" s="4" t="str" cm="1">
        <f t="array" ref="J753">_xlfn.IFS(I753&lt;30,"Young Adult", I753&lt;50,"Adult",I753 &gt;=50,"Seniors")</f>
        <v>Young Adult</v>
      </c>
      <c r="K753" s="4" t="s">
        <v>3</v>
      </c>
      <c r="L753" s="4">
        <v>2</v>
      </c>
      <c r="M753" s="5">
        <v>50</v>
      </c>
      <c r="N753">
        <f>L753*M753</f>
        <v>100</v>
      </c>
      <c r="O753" s="15">
        <f>N753*$R$3</f>
        <v>1.5</v>
      </c>
    </row>
    <row r="754" spans="1:15">
      <c r="A754" s="2">
        <v>753</v>
      </c>
      <c r="B754" s="4">
        <f>YEAR(F754)</f>
        <v>2023</v>
      </c>
      <c r="C754" s="4">
        <f>MONTH(F754)</f>
        <v>2</v>
      </c>
      <c r="D754" s="4">
        <f>DAY(F754)</f>
        <v>28</v>
      </c>
      <c r="E754" s="4" t="str">
        <f t="shared" si="11"/>
        <v>Tuesday</v>
      </c>
      <c r="F754" s="3">
        <v>44985</v>
      </c>
      <c r="G754" s="4" t="s">
        <v>785</v>
      </c>
      <c r="H754" s="4" t="s">
        <v>7</v>
      </c>
      <c r="I754" s="4">
        <v>32</v>
      </c>
      <c r="J754" s="4" t="str" cm="1">
        <f t="array" ref="J754">_xlfn.IFS(I754&lt;30,"Young Adult", I754&lt;50,"Adult",I754 &gt;=50,"Seniors")</f>
        <v>Adult</v>
      </c>
      <c r="K754" s="4" t="s">
        <v>3</v>
      </c>
      <c r="L754" s="4">
        <v>1</v>
      </c>
      <c r="M754" s="5">
        <v>30</v>
      </c>
      <c r="N754">
        <f>L754*M754</f>
        <v>30</v>
      </c>
      <c r="O754" s="15">
        <f>N754*$R$3</f>
        <v>0.44999999999999996</v>
      </c>
    </row>
    <row r="755" spans="1:15">
      <c r="A755" s="2">
        <v>754</v>
      </c>
      <c r="B755" s="4">
        <f>YEAR(F755)</f>
        <v>2023</v>
      </c>
      <c r="C755" s="4">
        <f>MONTH(F755)</f>
        <v>10</v>
      </c>
      <c r="D755" s="4">
        <f>DAY(F755)</f>
        <v>16</v>
      </c>
      <c r="E755" s="4" t="str">
        <f t="shared" si="11"/>
        <v>Monday</v>
      </c>
      <c r="F755" s="3">
        <v>45215</v>
      </c>
      <c r="G755" s="4" t="s">
        <v>786</v>
      </c>
      <c r="H755" s="4" t="s">
        <v>7</v>
      </c>
      <c r="I755" s="4">
        <v>43</v>
      </c>
      <c r="J755" s="4" t="str" cm="1">
        <f t="array" ref="J755">_xlfn.IFS(I755&lt;30,"Young Adult", I755&lt;50,"Adult",I755 &gt;=50,"Seniors")</f>
        <v>Adult</v>
      </c>
      <c r="K755" s="4" t="s">
        <v>4</v>
      </c>
      <c r="L755" s="4">
        <v>4</v>
      </c>
      <c r="M755" s="5">
        <v>25</v>
      </c>
      <c r="N755">
        <f>L755*M755</f>
        <v>100</v>
      </c>
      <c r="O755" s="15">
        <f>N755*$R$3</f>
        <v>1.5</v>
      </c>
    </row>
    <row r="756" spans="1:15">
      <c r="A756" s="2">
        <v>755</v>
      </c>
      <c r="B756" s="4">
        <f>YEAR(F756)</f>
        <v>2023</v>
      </c>
      <c r="C756" s="4">
        <f>MONTH(F756)</f>
        <v>4</v>
      </c>
      <c r="D756" s="4">
        <f>DAY(F756)</f>
        <v>22</v>
      </c>
      <c r="E756" s="4" t="str">
        <f t="shared" si="11"/>
        <v>Saturday</v>
      </c>
      <c r="F756" s="3">
        <v>45038</v>
      </c>
      <c r="G756" s="4" t="s">
        <v>787</v>
      </c>
      <c r="H756" s="4" t="s">
        <v>7</v>
      </c>
      <c r="I756" s="4">
        <v>58</v>
      </c>
      <c r="J756" s="4" t="str" cm="1">
        <f t="array" ref="J756">_xlfn.IFS(I756&lt;30,"Young Adult", I756&lt;50,"Adult",I756 &gt;=50,"Seniors")</f>
        <v>Seniors</v>
      </c>
      <c r="K756" s="4" t="s">
        <v>3</v>
      </c>
      <c r="L756" s="4">
        <v>3</v>
      </c>
      <c r="M756" s="5">
        <v>25</v>
      </c>
      <c r="N756">
        <f>L756*M756</f>
        <v>75</v>
      </c>
      <c r="O756" s="15">
        <f>N756*$R$3</f>
        <v>1.125</v>
      </c>
    </row>
    <row r="757" spans="1:15">
      <c r="A757" s="2">
        <v>756</v>
      </c>
      <c r="B757" s="4">
        <f>YEAR(F757)</f>
        <v>2023</v>
      </c>
      <c r="C757" s="4">
        <f>MONTH(F757)</f>
        <v>8</v>
      </c>
      <c r="D757" s="4">
        <f>DAY(F757)</f>
        <v>27</v>
      </c>
      <c r="E757" s="4" t="str">
        <f t="shared" si="11"/>
        <v>Sunday</v>
      </c>
      <c r="F757" s="3">
        <v>45165</v>
      </c>
      <c r="G757" s="4" t="s">
        <v>788</v>
      </c>
      <c r="H757" s="4" t="s">
        <v>7</v>
      </c>
      <c r="I757" s="4">
        <v>62</v>
      </c>
      <c r="J757" s="4" t="str" cm="1">
        <f t="array" ref="J757">_xlfn.IFS(I757&lt;30,"Young Adult", I757&lt;50,"Adult",I757 &gt;=50,"Seniors")</f>
        <v>Seniors</v>
      </c>
      <c r="K757" s="4" t="s">
        <v>4</v>
      </c>
      <c r="L757" s="4">
        <v>4</v>
      </c>
      <c r="M757" s="5">
        <v>300</v>
      </c>
      <c r="N757">
        <f>L757*M757</f>
        <v>1200</v>
      </c>
      <c r="O757" s="15">
        <f>N757*$R$3</f>
        <v>18</v>
      </c>
    </row>
    <row r="758" spans="1:15">
      <c r="A758" s="2">
        <v>757</v>
      </c>
      <c r="B758" s="4">
        <f>YEAR(F758)</f>
        <v>2023</v>
      </c>
      <c r="C758" s="4">
        <f>MONTH(F758)</f>
        <v>12</v>
      </c>
      <c r="D758" s="4">
        <f>DAY(F758)</f>
        <v>25</v>
      </c>
      <c r="E758" s="4" t="str">
        <f t="shared" si="11"/>
        <v>Monday</v>
      </c>
      <c r="F758" s="3">
        <v>45285</v>
      </c>
      <c r="G758" s="4" t="s">
        <v>789</v>
      </c>
      <c r="H758" s="4" t="s">
        <v>7</v>
      </c>
      <c r="I758" s="4">
        <v>43</v>
      </c>
      <c r="J758" s="4" t="str" cm="1">
        <f t="array" ref="J758">_xlfn.IFS(I758&lt;30,"Young Adult", I758&lt;50,"Adult",I758 &gt;=50,"Seniors")</f>
        <v>Adult</v>
      </c>
      <c r="K758" s="4" t="s">
        <v>4</v>
      </c>
      <c r="L758" s="4">
        <v>4</v>
      </c>
      <c r="M758" s="5">
        <v>300</v>
      </c>
      <c r="N758">
        <f>L758*M758</f>
        <v>1200</v>
      </c>
      <c r="O758" s="15">
        <f>N758*$R$3</f>
        <v>18</v>
      </c>
    </row>
    <row r="759" spans="1:15">
      <c r="A759" s="2">
        <v>758</v>
      </c>
      <c r="B759" s="4">
        <f>YEAR(F759)</f>
        <v>2023</v>
      </c>
      <c r="C759" s="4">
        <f>MONTH(F759)</f>
        <v>5</v>
      </c>
      <c r="D759" s="4">
        <f>DAY(F759)</f>
        <v>12</v>
      </c>
      <c r="E759" s="4" t="str">
        <f t="shared" si="11"/>
        <v>Friday</v>
      </c>
      <c r="F759" s="3">
        <v>45058</v>
      </c>
      <c r="G759" s="4" t="s">
        <v>790</v>
      </c>
      <c r="H759" s="4" t="s">
        <v>8</v>
      </c>
      <c r="I759" s="4">
        <v>64</v>
      </c>
      <c r="J759" s="4" t="str" cm="1">
        <f t="array" ref="J759">_xlfn.IFS(I759&lt;30,"Young Adult", I759&lt;50,"Adult",I759 &gt;=50,"Seniors")</f>
        <v>Seniors</v>
      </c>
      <c r="K759" s="4" t="s">
        <v>3</v>
      </c>
      <c r="L759" s="4">
        <v>4</v>
      </c>
      <c r="M759" s="5">
        <v>25</v>
      </c>
      <c r="N759">
        <f>L759*M759</f>
        <v>100</v>
      </c>
      <c r="O759" s="15">
        <f>N759*$R$3</f>
        <v>1.5</v>
      </c>
    </row>
    <row r="760" spans="1:15">
      <c r="A760" s="2">
        <v>759</v>
      </c>
      <c r="B760" s="4">
        <f>YEAR(F760)</f>
        <v>2023</v>
      </c>
      <c r="C760" s="4">
        <f>MONTH(F760)</f>
        <v>7</v>
      </c>
      <c r="D760" s="4">
        <f>DAY(F760)</f>
        <v>8</v>
      </c>
      <c r="E760" s="4" t="str">
        <f t="shared" si="11"/>
        <v>Saturday</v>
      </c>
      <c r="F760" s="3">
        <v>45115</v>
      </c>
      <c r="G760" s="4" t="s">
        <v>791</v>
      </c>
      <c r="H760" s="4" t="s">
        <v>8</v>
      </c>
      <c r="I760" s="4">
        <v>49</v>
      </c>
      <c r="J760" s="4" t="str" cm="1">
        <f t="array" ref="J760">_xlfn.IFS(I760&lt;30,"Young Adult", I760&lt;50,"Adult",I760 &gt;=50,"Seniors")</f>
        <v>Adult</v>
      </c>
      <c r="K760" s="4" t="s">
        <v>4</v>
      </c>
      <c r="L760" s="4">
        <v>2</v>
      </c>
      <c r="M760" s="5">
        <v>50</v>
      </c>
      <c r="N760">
        <f>L760*M760</f>
        <v>100</v>
      </c>
      <c r="O760" s="15">
        <f>N760*$R$3</f>
        <v>1.5</v>
      </c>
    </row>
    <row r="761" spans="1:15">
      <c r="A761" s="2">
        <v>760</v>
      </c>
      <c r="B761" s="4">
        <f>YEAR(F761)</f>
        <v>2023</v>
      </c>
      <c r="C761" s="4">
        <f>MONTH(F761)</f>
        <v>3</v>
      </c>
      <c r="D761" s="4">
        <f>DAY(F761)</f>
        <v>27</v>
      </c>
      <c r="E761" s="4" t="str">
        <f t="shared" si="11"/>
        <v>Monday</v>
      </c>
      <c r="F761" s="3">
        <v>45012</v>
      </c>
      <c r="G761" s="4" t="s">
        <v>792</v>
      </c>
      <c r="H761" s="4" t="s">
        <v>8</v>
      </c>
      <c r="I761" s="4">
        <v>27</v>
      </c>
      <c r="J761" s="4" t="str" cm="1">
        <f t="array" ref="J761">_xlfn.IFS(I761&lt;30,"Young Adult", I761&lt;50,"Adult",I761 &gt;=50,"Seniors")</f>
        <v>Young Adult</v>
      </c>
      <c r="K761" s="4" t="s">
        <v>2</v>
      </c>
      <c r="L761" s="4">
        <v>1</v>
      </c>
      <c r="M761" s="5">
        <v>500</v>
      </c>
      <c r="N761">
        <f>L761*M761</f>
        <v>500</v>
      </c>
      <c r="O761" s="15">
        <f>N761*$R$3</f>
        <v>7.5</v>
      </c>
    </row>
    <row r="762" spans="1:15">
      <c r="A762" s="2">
        <v>761</v>
      </c>
      <c r="B762" s="4">
        <f>YEAR(F762)</f>
        <v>2023</v>
      </c>
      <c r="C762" s="4">
        <f>MONTH(F762)</f>
        <v>11</v>
      </c>
      <c r="D762" s="4">
        <f>DAY(F762)</f>
        <v>7</v>
      </c>
      <c r="E762" s="4" t="str">
        <f t="shared" si="11"/>
        <v>Tuesday</v>
      </c>
      <c r="F762" s="3">
        <v>45237</v>
      </c>
      <c r="G762" s="4" t="s">
        <v>793</v>
      </c>
      <c r="H762" s="4" t="s">
        <v>7</v>
      </c>
      <c r="I762" s="4">
        <v>33</v>
      </c>
      <c r="J762" s="4" t="str" cm="1">
        <f t="array" ref="J762">_xlfn.IFS(I762&lt;30,"Young Adult", I762&lt;50,"Adult",I762 &gt;=50,"Seniors")</f>
        <v>Adult</v>
      </c>
      <c r="K762" s="4" t="s">
        <v>3</v>
      </c>
      <c r="L762" s="4">
        <v>1</v>
      </c>
      <c r="M762" s="5">
        <v>500</v>
      </c>
      <c r="N762">
        <f>L762*M762</f>
        <v>500</v>
      </c>
      <c r="O762" s="15">
        <f>N762*$R$3</f>
        <v>7.5</v>
      </c>
    </row>
    <row r="763" spans="1:15">
      <c r="A763" s="2">
        <v>762</v>
      </c>
      <c r="B763" s="4">
        <f>YEAR(F763)</f>
        <v>2023</v>
      </c>
      <c r="C763" s="4">
        <f>MONTH(F763)</f>
        <v>11</v>
      </c>
      <c r="D763" s="4">
        <f>DAY(F763)</f>
        <v>7</v>
      </c>
      <c r="E763" s="4" t="str">
        <f t="shared" si="11"/>
        <v>Tuesday</v>
      </c>
      <c r="F763" s="3">
        <v>45237</v>
      </c>
      <c r="G763" s="4" t="s">
        <v>794</v>
      </c>
      <c r="H763" s="4" t="s">
        <v>7</v>
      </c>
      <c r="I763" s="4">
        <v>24</v>
      </c>
      <c r="J763" s="4" t="str" cm="1">
        <f t="array" ref="J763">_xlfn.IFS(I763&lt;30,"Young Adult", I763&lt;50,"Adult",I763 &gt;=50,"Seniors")</f>
        <v>Young Adult</v>
      </c>
      <c r="K763" s="4" t="s">
        <v>4</v>
      </c>
      <c r="L763" s="4">
        <v>2</v>
      </c>
      <c r="M763" s="5">
        <v>25</v>
      </c>
      <c r="N763">
        <f>L763*M763</f>
        <v>50</v>
      </c>
      <c r="O763" s="15">
        <f>N763*$R$3</f>
        <v>0.75</v>
      </c>
    </row>
    <row r="764" spans="1:15">
      <c r="A764" s="2">
        <v>763</v>
      </c>
      <c r="B764" s="4">
        <f>YEAR(F764)</f>
        <v>2023</v>
      </c>
      <c r="C764" s="4">
        <f>MONTH(F764)</f>
        <v>2</v>
      </c>
      <c r="D764" s="4">
        <f>DAY(F764)</f>
        <v>28</v>
      </c>
      <c r="E764" s="4" t="str">
        <f t="shared" si="11"/>
        <v>Tuesday</v>
      </c>
      <c r="F764" s="3">
        <v>44985</v>
      </c>
      <c r="G764" s="4" t="s">
        <v>795</v>
      </c>
      <c r="H764" s="4" t="s">
        <v>8</v>
      </c>
      <c r="I764" s="4">
        <v>34</v>
      </c>
      <c r="J764" s="4" t="str" cm="1">
        <f t="array" ref="J764">_xlfn.IFS(I764&lt;30,"Young Adult", I764&lt;50,"Adult",I764 &gt;=50,"Seniors")</f>
        <v>Adult</v>
      </c>
      <c r="K764" s="4" t="s">
        <v>3</v>
      </c>
      <c r="L764" s="4">
        <v>2</v>
      </c>
      <c r="M764" s="5">
        <v>25</v>
      </c>
      <c r="N764">
        <f>L764*M764</f>
        <v>50</v>
      </c>
      <c r="O764" s="15">
        <f>N764*$R$3</f>
        <v>0.75</v>
      </c>
    </row>
    <row r="765" spans="1:15">
      <c r="A765" s="2">
        <v>764</v>
      </c>
      <c r="B765" s="4">
        <f>YEAR(F765)</f>
        <v>2023</v>
      </c>
      <c r="C765" s="4">
        <f>MONTH(F765)</f>
        <v>3</v>
      </c>
      <c r="D765" s="4">
        <f>DAY(F765)</f>
        <v>25</v>
      </c>
      <c r="E765" s="4" t="str">
        <f t="shared" si="11"/>
        <v>Saturday</v>
      </c>
      <c r="F765" s="3">
        <v>45010</v>
      </c>
      <c r="G765" s="4" t="s">
        <v>796</v>
      </c>
      <c r="H765" s="4" t="s">
        <v>7</v>
      </c>
      <c r="I765" s="4">
        <v>40</v>
      </c>
      <c r="J765" s="4" t="str" cm="1">
        <f t="array" ref="J765">_xlfn.IFS(I765&lt;30,"Young Adult", I765&lt;50,"Adult",I765 &gt;=50,"Seniors")</f>
        <v>Adult</v>
      </c>
      <c r="K765" s="4" t="s">
        <v>3</v>
      </c>
      <c r="L765" s="4">
        <v>1</v>
      </c>
      <c r="M765" s="5">
        <v>25</v>
      </c>
      <c r="N765">
        <f>L765*M765</f>
        <v>25</v>
      </c>
      <c r="O765" s="15">
        <f>N765*$R$3</f>
        <v>0.375</v>
      </c>
    </row>
    <row r="766" spans="1:15">
      <c r="A766" s="2">
        <v>765</v>
      </c>
      <c r="B766" s="4">
        <f>YEAR(F766)</f>
        <v>2023</v>
      </c>
      <c r="C766" s="4">
        <f>MONTH(F766)</f>
        <v>6</v>
      </c>
      <c r="D766" s="4">
        <f>DAY(F766)</f>
        <v>9</v>
      </c>
      <c r="E766" s="4" t="str">
        <f t="shared" si="11"/>
        <v>Friday</v>
      </c>
      <c r="F766" s="3">
        <v>45086</v>
      </c>
      <c r="G766" s="4" t="s">
        <v>797</v>
      </c>
      <c r="H766" s="4" t="s">
        <v>8</v>
      </c>
      <c r="I766" s="4">
        <v>43</v>
      </c>
      <c r="J766" s="4" t="str" cm="1">
        <f t="array" ref="J766">_xlfn.IFS(I766&lt;30,"Young Adult", I766&lt;50,"Adult",I766 &gt;=50,"Seniors")</f>
        <v>Adult</v>
      </c>
      <c r="K766" s="4" t="s">
        <v>3</v>
      </c>
      <c r="L766" s="4">
        <v>4</v>
      </c>
      <c r="M766" s="5">
        <v>50</v>
      </c>
      <c r="N766">
        <f>L766*M766</f>
        <v>200</v>
      </c>
      <c r="O766" s="15">
        <f>N766*$R$3</f>
        <v>3</v>
      </c>
    </row>
    <row r="767" spans="1:15">
      <c r="A767" s="2">
        <v>766</v>
      </c>
      <c r="B767" s="4">
        <f>YEAR(F767)</f>
        <v>2023</v>
      </c>
      <c r="C767" s="4">
        <f>MONTH(F767)</f>
        <v>2</v>
      </c>
      <c r="D767" s="4">
        <f>DAY(F767)</f>
        <v>25</v>
      </c>
      <c r="E767" s="4" t="str">
        <f t="shared" si="11"/>
        <v>Saturday</v>
      </c>
      <c r="F767" s="3">
        <v>44982</v>
      </c>
      <c r="G767" s="4" t="s">
        <v>798</v>
      </c>
      <c r="H767" s="4" t="s">
        <v>8</v>
      </c>
      <c r="I767" s="4">
        <v>38</v>
      </c>
      <c r="J767" s="4" t="str" cm="1">
        <f t="array" ref="J767">_xlfn.IFS(I767&lt;30,"Young Adult", I767&lt;50,"Adult",I767 &gt;=50,"Seniors")</f>
        <v>Adult</v>
      </c>
      <c r="K767" s="4" t="s">
        <v>4</v>
      </c>
      <c r="L767" s="4">
        <v>3</v>
      </c>
      <c r="M767" s="5">
        <v>300</v>
      </c>
      <c r="N767">
        <f>L767*M767</f>
        <v>900</v>
      </c>
      <c r="O767" s="15">
        <f>N767*$R$3</f>
        <v>13.5</v>
      </c>
    </row>
    <row r="768" spans="1:15">
      <c r="A768" s="2">
        <v>767</v>
      </c>
      <c r="B768" s="4">
        <f>YEAR(F768)</f>
        <v>2023</v>
      </c>
      <c r="C768" s="4">
        <f>MONTH(F768)</f>
        <v>10</v>
      </c>
      <c r="D768" s="4">
        <f>DAY(F768)</f>
        <v>24</v>
      </c>
      <c r="E768" s="4" t="str">
        <f t="shared" si="11"/>
        <v>Tuesday</v>
      </c>
      <c r="F768" s="3">
        <v>45223</v>
      </c>
      <c r="G768" s="4" t="s">
        <v>799</v>
      </c>
      <c r="H768" s="4" t="s">
        <v>8</v>
      </c>
      <c r="I768" s="4">
        <v>39</v>
      </c>
      <c r="J768" s="4" t="str" cm="1">
        <f t="array" ref="J768">_xlfn.IFS(I768&lt;30,"Young Adult", I768&lt;50,"Adult",I768 &gt;=50,"Seniors")</f>
        <v>Adult</v>
      </c>
      <c r="K768" s="4" t="s">
        <v>2</v>
      </c>
      <c r="L768" s="4">
        <v>3</v>
      </c>
      <c r="M768" s="5">
        <v>25</v>
      </c>
      <c r="N768">
        <f>L768*M768</f>
        <v>75</v>
      </c>
      <c r="O768" s="15">
        <f>N768*$R$3</f>
        <v>1.125</v>
      </c>
    </row>
    <row r="769" spans="1:15">
      <c r="A769" s="2">
        <v>768</v>
      </c>
      <c r="B769" s="4">
        <f>YEAR(F769)</f>
        <v>2023</v>
      </c>
      <c r="C769" s="4">
        <f>MONTH(F769)</f>
        <v>1</v>
      </c>
      <c r="D769" s="4">
        <f>DAY(F769)</f>
        <v>14</v>
      </c>
      <c r="E769" s="4" t="str">
        <f t="shared" si="11"/>
        <v>Saturday</v>
      </c>
      <c r="F769" s="3">
        <v>44940</v>
      </c>
      <c r="G769" s="4" t="s">
        <v>800</v>
      </c>
      <c r="H769" s="4" t="s">
        <v>7</v>
      </c>
      <c r="I769" s="4">
        <v>24</v>
      </c>
      <c r="J769" s="4" t="str" cm="1">
        <f t="array" ref="J769">_xlfn.IFS(I769&lt;30,"Young Adult", I769&lt;50,"Adult",I769 &gt;=50,"Seniors")</f>
        <v>Young Adult</v>
      </c>
      <c r="K769" s="4" t="s">
        <v>2</v>
      </c>
      <c r="L769" s="4">
        <v>3</v>
      </c>
      <c r="M769" s="5">
        <v>25</v>
      </c>
      <c r="N769">
        <f>L769*M769</f>
        <v>75</v>
      </c>
      <c r="O769" s="15">
        <f>N769*$R$3</f>
        <v>1.125</v>
      </c>
    </row>
    <row r="770" spans="1:15">
      <c r="A770" s="2">
        <v>769</v>
      </c>
      <c r="B770" s="4">
        <f>YEAR(F770)</f>
        <v>2023</v>
      </c>
      <c r="C770" s="4">
        <f>MONTH(F770)</f>
        <v>6</v>
      </c>
      <c r="D770" s="4">
        <f>DAY(F770)</f>
        <v>9</v>
      </c>
      <c r="E770" s="4" t="str">
        <f t="shared" si="11"/>
        <v>Friday</v>
      </c>
      <c r="F770" s="3">
        <v>45086</v>
      </c>
      <c r="G770" s="4" t="s">
        <v>801</v>
      </c>
      <c r="H770" s="4" t="s">
        <v>7</v>
      </c>
      <c r="I770" s="4">
        <v>31</v>
      </c>
      <c r="J770" s="4" t="str" cm="1">
        <f t="array" ref="J770">_xlfn.IFS(I770&lt;30,"Young Adult", I770&lt;50,"Adult",I770 &gt;=50,"Seniors")</f>
        <v>Adult</v>
      </c>
      <c r="K770" s="4" t="s">
        <v>4</v>
      </c>
      <c r="L770" s="4">
        <v>4</v>
      </c>
      <c r="M770" s="5">
        <v>30</v>
      </c>
      <c r="N770">
        <f>L770*M770</f>
        <v>120</v>
      </c>
      <c r="O770" s="15">
        <f>N770*$R$3</f>
        <v>1.7999999999999998</v>
      </c>
    </row>
    <row r="771" spans="1:15">
      <c r="A771" s="2">
        <v>770</v>
      </c>
      <c r="B771" s="4">
        <f>YEAR(F771)</f>
        <v>2023</v>
      </c>
      <c r="C771" s="4">
        <f>MONTH(F771)</f>
        <v>10</v>
      </c>
      <c r="D771" s="4">
        <f>DAY(F771)</f>
        <v>22</v>
      </c>
      <c r="E771" s="4" t="str">
        <f t="shared" ref="E771:E834" si="12">TEXT(F771,"dddd")</f>
        <v>Sunday</v>
      </c>
      <c r="F771" s="3">
        <v>45221</v>
      </c>
      <c r="G771" s="4" t="s">
        <v>802</v>
      </c>
      <c r="H771" s="4" t="s">
        <v>8</v>
      </c>
      <c r="I771" s="4">
        <v>32</v>
      </c>
      <c r="J771" s="4" t="str" cm="1">
        <f t="array" ref="J771">_xlfn.IFS(I771&lt;30,"Young Adult", I771&lt;50,"Adult",I771 &gt;=50,"Seniors")</f>
        <v>Adult</v>
      </c>
      <c r="K771" s="4" t="s">
        <v>3</v>
      </c>
      <c r="L771" s="4">
        <v>1</v>
      </c>
      <c r="M771" s="5">
        <v>50</v>
      </c>
      <c r="N771">
        <f>L771*M771</f>
        <v>50</v>
      </c>
      <c r="O771" s="15">
        <f>N771*$R$3</f>
        <v>0.75</v>
      </c>
    </row>
    <row r="772" spans="1:15">
      <c r="A772" s="2">
        <v>771</v>
      </c>
      <c r="B772" s="4">
        <f>YEAR(F772)</f>
        <v>2023</v>
      </c>
      <c r="C772" s="4">
        <f>MONTH(F772)</f>
        <v>12</v>
      </c>
      <c r="D772" s="4">
        <f>DAY(F772)</f>
        <v>13</v>
      </c>
      <c r="E772" s="4" t="str">
        <f t="shared" si="12"/>
        <v>Wednesday</v>
      </c>
      <c r="F772" s="3">
        <v>45273</v>
      </c>
      <c r="G772" s="4" t="s">
        <v>803</v>
      </c>
      <c r="H772" s="4" t="s">
        <v>8</v>
      </c>
      <c r="I772" s="4">
        <v>24</v>
      </c>
      <c r="J772" s="4" t="str" cm="1">
        <f t="array" ref="J772">_xlfn.IFS(I772&lt;30,"Young Adult", I772&lt;50,"Adult",I772 &gt;=50,"Seniors")</f>
        <v>Young Adult</v>
      </c>
      <c r="K772" s="4" t="s">
        <v>4</v>
      </c>
      <c r="L772" s="4">
        <v>2</v>
      </c>
      <c r="M772" s="5">
        <v>25</v>
      </c>
      <c r="N772">
        <f>L772*M772</f>
        <v>50</v>
      </c>
      <c r="O772" s="15">
        <f>N772*$R$3</f>
        <v>0.75</v>
      </c>
    </row>
    <row r="773" spans="1:15">
      <c r="A773" s="2">
        <v>772</v>
      </c>
      <c r="B773" s="4">
        <f>YEAR(F773)</f>
        <v>2023</v>
      </c>
      <c r="C773" s="4">
        <f>MONTH(F773)</f>
        <v>7</v>
      </c>
      <c r="D773" s="4">
        <f>DAY(F773)</f>
        <v>12</v>
      </c>
      <c r="E773" s="4" t="str">
        <f t="shared" si="12"/>
        <v>Wednesday</v>
      </c>
      <c r="F773" s="3">
        <v>45119</v>
      </c>
      <c r="G773" s="4" t="s">
        <v>804</v>
      </c>
      <c r="H773" s="4" t="s">
        <v>8</v>
      </c>
      <c r="I773" s="4">
        <v>26</v>
      </c>
      <c r="J773" s="4" t="str" cm="1">
        <f t="array" ref="J773">_xlfn.IFS(I773&lt;30,"Young Adult", I773&lt;50,"Adult",I773 &gt;=50,"Seniors")</f>
        <v>Young Adult</v>
      </c>
      <c r="K773" s="4" t="s">
        <v>4</v>
      </c>
      <c r="L773" s="4">
        <v>1</v>
      </c>
      <c r="M773" s="5">
        <v>30</v>
      </c>
      <c r="N773">
        <f>L773*M773</f>
        <v>30</v>
      </c>
      <c r="O773" s="15">
        <f>N773*$R$3</f>
        <v>0.44999999999999996</v>
      </c>
    </row>
    <row r="774" spans="1:15">
      <c r="A774" s="2">
        <v>773</v>
      </c>
      <c r="B774" s="4">
        <f>YEAR(F774)</f>
        <v>2023</v>
      </c>
      <c r="C774" s="4">
        <f>MONTH(F774)</f>
        <v>7</v>
      </c>
      <c r="D774" s="4">
        <f>DAY(F774)</f>
        <v>23</v>
      </c>
      <c r="E774" s="4" t="str">
        <f t="shared" si="12"/>
        <v>Sunday</v>
      </c>
      <c r="F774" s="3">
        <v>45130</v>
      </c>
      <c r="G774" s="4" t="s">
        <v>805</v>
      </c>
      <c r="H774" s="4" t="s">
        <v>8</v>
      </c>
      <c r="I774" s="4">
        <v>25</v>
      </c>
      <c r="J774" s="4" t="str" cm="1">
        <f t="array" ref="J774">_xlfn.IFS(I774&lt;30,"Young Adult", I774&lt;50,"Adult",I774 &gt;=50,"Seniors")</f>
        <v>Young Adult</v>
      </c>
      <c r="K774" s="4" t="s">
        <v>4</v>
      </c>
      <c r="L774" s="4">
        <v>4</v>
      </c>
      <c r="M774" s="5">
        <v>500</v>
      </c>
      <c r="N774">
        <f>L774*M774</f>
        <v>2000</v>
      </c>
      <c r="O774" s="15">
        <f>N774*$R$3</f>
        <v>30</v>
      </c>
    </row>
    <row r="775" spans="1:15">
      <c r="A775" s="2">
        <v>774</v>
      </c>
      <c r="B775" s="4">
        <f>YEAR(F775)</f>
        <v>2023</v>
      </c>
      <c r="C775" s="4">
        <f>MONTH(F775)</f>
        <v>4</v>
      </c>
      <c r="D775" s="4">
        <f>DAY(F775)</f>
        <v>12</v>
      </c>
      <c r="E775" s="4" t="str">
        <f t="shared" si="12"/>
        <v>Wednesday</v>
      </c>
      <c r="F775" s="3">
        <v>45028</v>
      </c>
      <c r="G775" s="4" t="s">
        <v>806</v>
      </c>
      <c r="H775" s="4" t="s">
        <v>7</v>
      </c>
      <c r="I775" s="4">
        <v>40</v>
      </c>
      <c r="J775" s="4" t="str" cm="1">
        <f t="array" ref="J775">_xlfn.IFS(I775&lt;30,"Young Adult", I775&lt;50,"Adult",I775 &gt;=50,"Seniors")</f>
        <v>Adult</v>
      </c>
      <c r="K775" s="4" t="s">
        <v>3</v>
      </c>
      <c r="L775" s="4">
        <v>2</v>
      </c>
      <c r="M775" s="5">
        <v>25</v>
      </c>
      <c r="N775">
        <f>L775*M775</f>
        <v>50</v>
      </c>
      <c r="O775" s="15">
        <f>N775*$R$3</f>
        <v>0.75</v>
      </c>
    </row>
    <row r="776" spans="1:15">
      <c r="A776" s="2">
        <v>775</v>
      </c>
      <c r="B776" s="4">
        <f>YEAR(F776)</f>
        <v>2023</v>
      </c>
      <c r="C776" s="4">
        <f>MONTH(F776)</f>
        <v>2</v>
      </c>
      <c r="D776" s="4">
        <f>DAY(F776)</f>
        <v>8</v>
      </c>
      <c r="E776" s="4" t="str">
        <f t="shared" si="12"/>
        <v>Wednesday</v>
      </c>
      <c r="F776" s="3">
        <v>44965</v>
      </c>
      <c r="G776" s="4" t="s">
        <v>807</v>
      </c>
      <c r="H776" s="4" t="s">
        <v>7</v>
      </c>
      <c r="I776" s="4">
        <v>46</v>
      </c>
      <c r="J776" s="4" t="str" cm="1">
        <f t="array" ref="J776">_xlfn.IFS(I776&lt;30,"Young Adult", I776&lt;50,"Adult",I776 &gt;=50,"Seniors")</f>
        <v>Adult</v>
      </c>
      <c r="K776" s="4" t="s">
        <v>4</v>
      </c>
      <c r="L776" s="4">
        <v>4</v>
      </c>
      <c r="M776" s="5">
        <v>25</v>
      </c>
      <c r="N776">
        <f>L776*M776</f>
        <v>100</v>
      </c>
      <c r="O776" s="15">
        <f>N776*$R$3</f>
        <v>1.5</v>
      </c>
    </row>
    <row r="777" spans="1:15">
      <c r="A777" s="2">
        <v>776</v>
      </c>
      <c r="B777" s="4">
        <f>YEAR(F777)</f>
        <v>2023</v>
      </c>
      <c r="C777" s="4">
        <f>MONTH(F777)</f>
        <v>10</v>
      </c>
      <c r="D777" s="4">
        <f>DAY(F777)</f>
        <v>31</v>
      </c>
      <c r="E777" s="4" t="str">
        <f t="shared" si="12"/>
        <v>Tuesday</v>
      </c>
      <c r="F777" s="3">
        <v>45230</v>
      </c>
      <c r="G777" s="4" t="s">
        <v>808</v>
      </c>
      <c r="H777" s="4" t="s">
        <v>8</v>
      </c>
      <c r="I777" s="4">
        <v>35</v>
      </c>
      <c r="J777" s="4" t="str" cm="1">
        <f t="array" ref="J777">_xlfn.IFS(I777&lt;30,"Young Adult", I777&lt;50,"Adult",I777 &gt;=50,"Seniors")</f>
        <v>Adult</v>
      </c>
      <c r="K777" s="4" t="s">
        <v>3</v>
      </c>
      <c r="L777" s="4">
        <v>3</v>
      </c>
      <c r="M777" s="5">
        <v>30</v>
      </c>
      <c r="N777">
        <f>L777*M777</f>
        <v>90</v>
      </c>
      <c r="O777" s="15">
        <f>N777*$R$3</f>
        <v>1.3499999999999999</v>
      </c>
    </row>
    <row r="778" spans="1:15">
      <c r="A778" s="2">
        <v>777</v>
      </c>
      <c r="B778" s="4">
        <f>YEAR(F778)</f>
        <v>2023</v>
      </c>
      <c r="C778" s="4">
        <f>MONTH(F778)</f>
        <v>12</v>
      </c>
      <c r="D778" s="4">
        <f>DAY(F778)</f>
        <v>20</v>
      </c>
      <c r="E778" s="4" t="str">
        <f t="shared" si="12"/>
        <v>Wednesday</v>
      </c>
      <c r="F778" s="3">
        <v>45280</v>
      </c>
      <c r="G778" s="4" t="s">
        <v>809</v>
      </c>
      <c r="H778" s="4" t="s">
        <v>8</v>
      </c>
      <c r="I778" s="4">
        <v>48</v>
      </c>
      <c r="J778" s="4" t="str" cm="1">
        <f t="array" ref="J778">_xlfn.IFS(I778&lt;30,"Young Adult", I778&lt;50,"Adult",I778 &gt;=50,"Seniors")</f>
        <v>Adult</v>
      </c>
      <c r="K778" s="4" t="s">
        <v>4</v>
      </c>
      <c r="L778" s="4">
        <v>3</v>
      </c>
      <c r="M778" s="5">
        <v>50</v>
      </c>
      <c r="N778">
        <f>L778*M778</f>
        <v>150</v>
      </c>
      <c r="O778" s="15">
        <f>N778*$R$3</f>
        <v>2.25</v>
      </c>
    </row>
    <row r="779" spans="1:15">
      <c r="A779" s="2">
        <v>778</v>
      </c>
      <c r="B779" s="4">
        <f>YEAR(F779)</f>
        <v>2023</v>
      </c>
      <c r="C779" s="4">
        <f>MONTH(F779)</f>
        <v>11</v>
      </c>
      <c r="D779" s="4">
        <f>DAY(F779)</f>
        <v>18</v>
      </c>
      <c r="E779" s="4" t="str">
        <f t="shared" si="12"/>
        <v>Saturday</v>
      </c>
      <c r="F779" s="3">
        <v>45248</v>
      </c>
      <c r="G779" s="4" t="s">
        <v>810</v>
      </c>
      <c r="H779" s="4" t="s">
        <v>7</v>
      </c>
      <c r="I779" s="4">
        <v>47</v>
      </c>
      <c r="J779" s="4" t="str" cm="1">
        <f t="array" ref="J779">_xlfn.IFS(I779&lt;30,"Young Adult", I779&lt;50,"Adult",I779 &gt;=50,"Seniors")</f>
        <v>Adult</v>
      </c>
      <c r="K779" s="4" t="s">
        <v>2</v>
      </c>
      <c r="L779" s="4">
        <v>4</v>
      </c>
      <c r="M779" s="5">
        <v>25</v>
      </c>
      <c r="N779">
        <f>L779*M779</f>
        <v>100</v>
      </c>
      <c r="O779" s="15">
        <f>N779*$R$3</f>
        <v>1.5</v>
      </c>
    </row>
    <row r="780" spans="1:15">
      <c r="A780" s="2">
        <v>779</v>
      </c>
      <c r="B780" s="4">
        <f>YEAR(F780)</f>
        <v>2023</v>
      </c>
      <c r="C780" s="4">
        <f>MONTH(F780)</f>
        <v>5</v>
      </c>
      <c r="D780" s="4">
        <f>DAY(F780)</f>
        <v>5</v>
      </c>
      <c r="E780" s="4" t="str">
        <f t="shared" si="12"/>
        <v>Friday</v>
      </c>
      <c r="F780" s="3">
        <v>45051</v>
      </c>
      <c r="G780" s="4" t="s">
        <v>811</v>
      </c>
      <c r="H780" s="4" t="s">
        <v>7</v>
      </c>
      <c r="I780" s="4">
        <v>56</v>
      </c>
      <c r="J780" s="4" t="str" cm="1">
        <f t="array" ref="J780">_xlfn.IFS(I780&lt;30,"Young Adult", I780&lt;50,"Adult",I780 &gt;=50,"Seniors")</f>
        <v>Seniors</v>
      </c>
      <c r="K780" s="4" t="s">
        <v>4</v>
      </c>
      <c r="L780" s="4">
        <v>2</v>
      </c>
      <c r="M780" s="5">
        <v>500</v>
      </c>
      <c r="N780">
        <f>L780*M780</f>
        <v>1000</v>
      </c>
      <c r="O780" s="15">
        <f>N780*$R$3</f>
        <v>15</v>
      </c>
    </row>
    <row r="781" spans="1:15">
      <c r="A781" s="2">
        <v>780</v>
      </c>
      <c r="B781" s="4">
        <f>YEAR(F781)</f>
        <v>2023</v>
      </c>
      <c r="C781" s="4">
        <f>MONTH(F781)</f>
        <v>2</v>
      </c>
      <c r="D781" s="4">
        <f>DAY(F781)</f>
        <v>22</v>
      </c>
      <c r="E781" s="4" t="str">
        <f t="shared" si="12"/>
        <v>Wednesday</v>
      </c>
      <c r="F781" s="3">
        <v>44979</v>
      </c>
      <c r="G781" s="4" t="s">
        <v>812</v>
      </c>
      <c r="H781" s="4" t="s">
        <v>8</v>
      </c>
      <c r="I781" s="4">
        <v>52</v>
      </c>
      <c r="J781" s="4" t="str" cm="1">
        <f t="array" ref="J781">_xlfn.IFS(I781&lt;30,"Young Adult", I781&lt;50,"Adult",I781 &gt;=50,"Seniors")</f>
        <v>Seniors</v>
      </c>
      <c r="K781" s="4" t="s">
        <v>4</v>
      </c>
      <c r="L781" s="4">
        <v>2</v>
      </c>
      <c r="M781" s="5">
        <v>25</v>
      </c>
      <c r="N781">
        <f>L781*M781</f>
        <v>50</v>
      </c>
      <c r="O781" s="15">
        <f>N781*$R$3</f>
        <v>0.75</v>
      </c>
    </row>
    <row r="782" spans="1:15">
      <c r="A782" s="2">
        <v>781</v>
      </c>
      <c r="B782" s="4">
        <f>YEAR(F782)</f>
        <v>2023</v>
      </c>
      <c r="C782" s="4">
        <f>MONTH(F782)</f>
        <v>12</v>
      </c>
      <c r="D782" s="4">
        <f>DAY(F782)</f>
        <v>23</v>
      </c>
      <c r="E782" s="4" t="str">
        <f t="shared" si="12"/>
        <v>Saturday</v>
      </c>
      <c r="F782" s="3">
        <v>45283</v>
      </c>
      <c r="G782" s="4" t="s">
        <v>813</v>
      </c>
      <c r="H782" s="4" t="s">
        <v>8</v>
      </c>
      <c r="I782" s="4">
        <v>35</v>
      </c>
      <c r="J782" s="4" t="str" cm="1">
        <f t="array" ref="J782">_xlfn.IFS(I782&lt;30,"Young Adult", I782&lt;50,"Adult",I782 &gt;=50,"Seniors")</f>
        <v>Adult</v>
      </c>
      <c r="K782" s="4" t="s">
        <v>2</v>
      </c>
      <c r="L782" s="4">
        <v>1</v>
      </c>
      <c r="M782" s="5">
        <v>500</v>
      </c>
      <c r="N782">
        <f>L782*M782</f>
        <v>500</v>
      </c>
      <c r="O782" s="15">
        <f>N782*$R$3</f>
        <v>7.5</v>
      </c>
    </row>
    <row r="783" spans="1:15">
      <c r="A783" s="2">
        <v>782</v>
      </c>
      <c r="B783" s="4">
        <f>YEAR(F783)</f>
        <v>2023</v>
      </c>
      <c r="C783" s="4">
        <f>MONTH(F783)</f>
        <v>6</v>
      </c>
      <c r="D783" s="4">
        <f>DAY(F783)</f>
        <v>4</v>
      </c>
      <c r="E783" s="4" t="str">
        <f t="shared" si="12"/>
        <v>Sunday</v>
      </c>
      <c r="F783" s="3">
        <v>45081</v>
      </c>
      <c r="G783" s="4" t="s">
        <v>814</v>
      </c>
      <c r="H783" s="4" t="s">
        <v>8</v>
      </c>
      <c r="I783" s="4">
        <v>59</v>
      </c>
      <c r="J783" s="4" t="str" cm="1">
        <f t="array" ref="J783">_xlfn.IFS(I783&lt;30,"Young Adult", I783&lt;50,"Adult",I783 &gt;=50,"Seniors")</f>
        <v>Seniors</v>
      </c>
      <c r="K783" s="4" t="s">
        <v>3</v>
      </c>
      <c r="L783" s="4">
        <v>3</v>
      </c>
      <c r="M783" s="5">
        <v>300</v>
      </c>
      <c r="N783">
        <f>L783*M783</f>
        <v>900</v>
      </c>
      <c r="O783" s="15">
        <f>N783*$R$3</f>
        <v>13.5</v>
      </c>
    </row>
    <row r="784" spans="1:15">
      <c r="A784" s="2">
        <v>783</v>
      </c>
      <c r="B784" s="4">
        <f>YEAR(F784)</f>
        <v>2023</v>
      </c>
      <c r="C784" s="4">
        <f>MONTH(F784)</f>
        <v>12</v>
      </c>
      <c r="D784" s="4">
        <f>DAY(F784)</f>
        <v>17</v>
      </c>
      <c r="E784" s="4" t="str">
        <f t="shared" si="12"/>
        <v>Sunday</v>
      </c>
      <c r="F784" s="3">
        <v>45277</v>
      </c>
      <c r="G784" s="4" t="s">
        <v>815</v>
      </c>
      <c r="H784" s="4" t="s">
        <v>7</v>
      </c>
      <c r="I784" s="4">
        <v>56</v>
      </c>
      <c r="J784" s="4" t="str" cm="1">
        <f t="array" ref="J784">_xlfn.IFS(I784&lt;30,"Young Adult", I784&lt;50,"Adult",I784 &gt;=50,"Seniors")</f>
        <v>Seniors</v>
      </c>
      <c r="K784" s="4" t="s">
        <v>3</v>
      </c>
      <c r="L784" s="4">
        <v>1</v>
      </c>
      <c r="M784" s="5">
        <v>300</v>
      </c>
      <c r="N784">
        <f>L784*M784</f>
        <v>300</v>
      </c>
      <c r="O784" s="15">
        <f>N784*$R$3</f>
        <v>4.5</v>
      </c>
    </row>
    <row r="785" spans="1:15">
      <c r="A785" s="2">
        <v>784</v>
      </c>
      <c r="B785" s="4">
        <f>YEAR(F785)</f>
        <v>2023</v>
      </c>
      <c r="C785" s="4">
        <f>MONTH(F785)</f>
        <v>11</v>
      </c>
      <c r="D785" s="4">
        <f>DAY(F785)</f>
        <v>4</v>
      </c>
      <c r="E785" s="4" t="str">
        <f t="shared" si="12"/>
        <v>Saturday</v>
      </c>
      <c r="F785" s="3">
        <v>45234</v>
      </c>
      <c r="G785" s="4" t="s">
        <v>816</v>
      </c>
      <c r="H785" s="4" t="s">
        <v>7</v>
      </c>
      <c r="I785" s="4">
        <v>34</v>
      </c>
      <c r="J785" s="4" t="str" cm="1">
        <f t="array" ref="J785">_xlfn.IFS(I785&lt;30,"Young Adult", I785&lt;50,"Adult",I785 &gt;=50,"Seniors")</f>
        <v>Adult</v>
      </c>
      <c r="K785" s="4" t="s">
        <v>4</v>
      </c>
      <c r="L785" s="4">
        <v>1</v>
      </c>
      <c r="M785" s="5">
        <v>500</v>
      </c>
      <c r="N785">
        <f>L785*M785</f>
        <v>500</v>
      </c>
      <c r="O785" s="15">
        <f>N785*$R$3</f>
        <v>7.5</v>
      </c>
    </row>
    <row r="786" spans="1:15">
      <c r="A786" s="2">
        <v>785</v>
      </c>
      <c r="B786" s="4">
        <f>YEAR(F786)</f>
        <v>2023</v>
      </c>
      <c r="C786" s="4">
        <f>MONTH(F786)</f>
        <v>3</v>
      </c>
      <c r="D786" s="4">
        <f>DAY(F786)</f>
        <v>3</v>
      </c>
      <c r="E786" s="4" t="str">
        <f t="shared" si="12"/>
        <v>Friday</v>
      </c>
      <c r="F786" s="3">
        <v>44988</v>
      </c>
      <c r="G786" s="4" t="s">
        <v>817</v>
      </c>
      <c r="H786" s="4" t="s">
        <v>7</v>
      </c>
      <c r="I786" s="4">
        <v>31</v>
      </c>
      <c r="J786" s="4" t="str" cm="1">
        <f t="array" ref="J786">_xlfn.IFS(I786&lt;30,"Young Adult", I786&lt;50,"Adult",I786 &gt;=50,"Seniors")</f>
        <v>Adult</v>
      </c>
      <c r="K786" s="4" t="s">
        <v>2</v>
      </c>
      <c r="L786" s="4">
        <v>4</v>
      </c>
      <c r="M786" s="5">
        <v>50</v>
      </c>
      <c r="N786">
        <f>L786*M786</f>
        <v>200</v>
      </c>
      <c r="O786" s="15">
        <f>N786*$R$3</f>
        <v>3</v>
      </c>
    </row>
    <row r="787" spans="1:15">
      <c r="A787" s="2">
        <v>786</v>
      </c>
      <c r="B787" s="4">
        <f>YEAR(F787)</f>
        <v>2023</v>
      </c>
      <c r="C787" s="4">
        <f>MONTH(F787)</f>
        <v>10</v>
      </c>
      <c r="D787" s="4">
        <f>DAY(F787)</f>
        <v>17</v>
      </c>
      <c r="E787" s="4" t="str">
        <f t="shared" si="12"/>
        <v>Tuesday</v>
      </c>
      <c r="F787" s="3">
        <v>45216</v>
      </c>
      <c r="G787" s="4" t="s">
        <v>818</v>
      </c>
      <c r="H787" s="4" t="s">
        <v>8</v>
      </c>
      <c r="I787" s="4">
        <v>48</v>
      </c>
      <c r="J787" s="4" t="str" cm="1">
        <f t="array" ref="J787">_xlfn.IFS(I787&lt;30,"Young Adult", I787&lt;50,"Adult",I787 &gt;=50,"Seniors")</f>
        <v>Adult</v>
      </c>
      <c r="K787" s="4" t="s">
        <v>3</v>
      </c>
      <c r="L787" s="4">
        <v>4</v>
      </c>
      <c r="M787" s="5">
        <v>25</v>
      </c>
      <c r="N787">
        <f>L787*M787</f>
        <v>100</v>
      </c>
      <c r="O787" s="15">
        <f>N787*$R$3</f>
        <v>1.5</v>
      </c>
    </row>
    <row r="788" spans="1:15">
      <c r="A788" s="2">
        <v>787</v>
      </c>
      <c r="B788" s="4">
        <f>YEAR(F788)</f>
        <v>2023</v>
      </c>
      <c r="C788" s="4">
        <f>MONTH(F788)</f>
        <v>1</v>
      </c>
      <c r="D788" s="4">
        <f>DAY(F788)</f>
        <v>22</v>
      </c>
      <c r="E788" s="4" t="str">
        <f t="shared" si="12"/>
        <v>Sunday</v>
      </c>
      <c r="F788" s="3">
        <v>44948</v>
      </c>
      <c r="G788" s="4" t="s">
        <v>819</v>
      </c>
      <c r="H788" s="4" t="s">
        <v>8</v>
      </c>
      <c r="I788" s="4">
        <v>41</v>
      </c>
      <c r="J788" s="4" t="str" cm="1">
        <f t="array" ref="J788">_xlfn.IFS(I788&lt;30,"Young Adult", I788&lt;50,"Adult",I788 &gt;=50,"Seniors")</f>
        <v>Adult</v>
      </c>
      <c r="K788" s="4" t="s">
        <v>4</v>
      </c>
      <c r="L788" s="4">
        <v>1</v>
      </c>
      <c r="M788" s="5">
        <v>25</v>
      </c>
      <c r="N788">
        <f>L788*M788</f>
        <v>25</v>
      </c>
      <c r="O788" s="15">
        <f>N788*$R$3</f>
        <v>0.375</v>
      </c>
    </row>
    <row r="789" spans="1:15">
      <c r="A789" s="2">
        <v>788</v>
      </c>
      <c r="B789" s="4">
        <f>YEAR(F789)</f>
        <v>2023</v>
      </c>
      <c r="C789" s="4">
        <f>MONTH(F789)</f>
        <v>6</v>
      </c>
      <c r="D789" s="4">
        <f>DAY(F789)</f>
        <v>27</v>
      </c>
      <c r="E789" s="4" t="str">
        <f t="shared" si="12"/>
        <v>Tuesday</v>
      </c>
      <c r="F789" s="3">
        <v>45104</v>
      </c>
      <c r="G789" s="4" t="s">
        <v>820</v>
      </c>
      <c r="H789" s="4" t="s">
        <v>7</v>
      </c>
      <c r="I789" s="4">
        <v>52</v>
      </c>
      <c r="J789" s="4" t="str" cm="1">
        <f t="array" ref="J789">_xlfn.IFS(I789&lt;30,"Young Adult", I789&lt;50,"Adult",I789 &gt;=50,"Seniors")</f>
        <v>Seniors</v>
      </c>
      <c r="K789" s="4" t="s">
        <v>2</v>
      </c>
      <c r="L789" s="4">
        <v>3</v>
      </c>
      <c r="M789" s="5">
        <v>300</v>
      </c>
      <c r="N789">
        <f>L789*M789</f>
        <v>900</v>
      </c>
      <c r="O789" s="15">
        <f>N789*$R$3</f>
        <v>13.5</v>
      </c>
    </row>
    <row r="790" spans="1:15">
      <c r="A790" s="2">
        <v>789</v>
      </c>
      <c r="B790" s="4">
        <f>YEAR(F790)</f>
        <v>2023</v>
      </c>
      <c r="C790" s="4">
        <f>MONTH(F790)</f>
        <v>9</v>
      </c>
      <c r="D790" s="4">
        <f>DAY(F790)</f>
        <v>30</v>
      </c>
      <c r="E790" s="4" t="str">
        <f t="shared" si="12"/>
        <v>Saturday</v>
      </c>
      <c r="F790" s="3">
        <v>45199</v>
      </c>
      <c r="G790" s="4" t="s">
        <v>821</v>
      </c>
      <c r="H790" s="4" t="s">
        <v>7</v>
      </c>
      <c r="I790" s="4">
        <v>61</v>
      </c>
      <c r="J790" s="4" t="str" cm="1">
        <f t="array" ref="J790">_xlfn.IFS(I790&lt;30,"Young Adult", I790&lt;50,"Adult",I790 &gt;=50,"Seniors")</f>
        <v>Seniors</v>
      </c>
      <c r="K790" s="4" t="s">
        <v>3</v>
      </c>
      <c r="L790" s="4">
        <v>4</v>
      </c>
      <c r="M790" s="5">
        <v>500</v>
      </c>
      <c r="N790">
        <f>L790*M790</f>
        <v>2000</v>
      </c>
      <c r="O790" s="15">
        <f>N790*$R$3</f>
        <v>30</v>
      </c>
    </row>
    <row r="791" spans="1:15">
      <c r="A791" s="2">
        <v>790</v>
      </c>
      <c r="B791" s="4">
        <f>YEAR(F791)</f>
        <v>2023</v>
      </c>
      <c r="C791" s="4">
        <f>MONTH(F791)</f>
        <v>8</v>
      </c>
      <c r="D791" s="4">
        <f>DAY(F791)</f>
        <v>8</v>
      </c>
      <c r="E791" s="4" t="str">
        <f t="shared" si="12"/>
        <v>Tuesday</v>
      </c>
      <c r="F791" s="3">
        <v>45146</v>
      </c>
      <c r="G791" s="4" t="s">
        <v>822</v>
      </c>
      <c r="H791" s="4" t="s">
        <v>8</v>
      </c>
      <c r="I791" s="4">
        <v>62</v>
      </c>
      <c r="J791" s="4" t="str" cm="1">
        <f t="array" ref="J791">_xlfn.IFS(I791&lt;30,"Young Adult", I791&lt;50,"Adult",I791 &gt;=50,"Seniors")</f>
        <v>Seniors</v>
      </c>
      <c r="K791" s="4" t="s">
        <v>3</v>
      </c>
      <c r="L791" s="4">
        <v>1</v>
      </c>
      <c r="M791" s="5">
        <v>25</v>
      </c>
      <c r="N791">
        <f>L791*M791</f>
        <v>25</v>
      </c>
      <c r="O791" s="15">
        <f>N791*$R$3</f>
        <v>0.375</v>
      </c>
    </row>
    <row r="792" spans="1:15">
      <c r="A792" s="2">
        <v>791</v>
      </c>
      <c r="B792" s="4">
        <f>YEAR(F792)</f>
        <v>2023</v>
      </c>
      <c r="C792" s="4">
        <f>MONTH(F792)</f>
        <v>12</v>
      </c>
      <c r="D792" s="4">
        <f>DAY(F792)</f>
        <v>5</v>
      </c>
      <c r="E792" s="4" t="str">
        <f t="shared" si="12"/>
        <v>Tuesday</v>
      </c>
      <c r="F792" s="3">
        <v>45265</v>
      </c>
      <c r="G792" s="4" t="s">
        <v>823</v>
      </c>
      <c r="H792" s="4" t="s">
        <v>7</v>
      </c>
      <c r="I792" s="4">
        <v>51</v>
      </c>
      <c r="J792" s="4" t="str" cm="1">
        <f t="array" ref="J792">_xlfn.IFS(I792&lt;30,"Young Adult", I792&lt;50,"Adult",I792 &gt;=50,"Seniors")</f>
        <v>Seniors</v>
      </c>
      <c r="K792" s="4" t="s">
        <v>2</v>
      </c>
      <c r="L792" s="4">
        <v>1</v>
      </c>
      <c r="M792" s="5">
        <v>25</v>
      </c>
      <c r="N792">
        <f>L792*M792</f>
        <v>25</v>
      </c>
      <c r="O792" s="15">
        <f>N792*$R$3</f>
        <v>0.375</v>
      </c>
    </row>
    <row r="793" spans="1:15">
      <c r="A793" s="2">
        <v>792</v>
      </c>
      <c r="B793" s="4">
        <f>YEAR(F793)</f>
        <v>2023</v>
      </c>
      <c r="C793" s="4">
        <f>MONTH(F793)</f>
        <v>7</v>
      </c>
      <c r="D793" s="4">
        <f>DAY(F793)</f>
        <v>9</v>
      </c>
      <c r="E793" s="4" t="str">
        <f t="shared" si="12"/>
        <v>Sunday</v>
      </c>
      <c r="F793" s="3">
        <v>45116</v>
      </c>
      <c r="G793" s="4" t="s">
        <v>824</v>
      </c>
      <c r="H793" s="4" t="s">
        <v>7</v>
      </c>
      <c r="I793" s="4">
        <v>20</v>
      </c>
      <c r="J793" s="4" t="str" cm="1">
        <f t="array" ref="J793">_xlfn.IFS(I793&lt;30,"Young Adult", I793&lt;50,"Adult",I793 &gt;=50,"Seniors")</f>
        <v>Young Adult</v>
      </c>
      <c r="K793" s="4" t="s">
        <v>2</v>
      </c>
      <c r="L793" s="4">
        <v>1</v>
      </c>
      <c r="M793" s="5">
        <v>50</v>
      </c>
      <c r="N793">
        <f>L793*M793</f>
        <v>50</v>
      </c>
      <c r="O793" s="15">
        <f>N793*$R$3</f>
        <v>0.75</v>
      </c>
    </row>
    <row r="794" spans="1:15">
      <c r="A794" s="2">
        <v>793</v>
      </c>
      <c r="B794" s="4">
        <f>YEAR(F794)</f>
        <v>2023</v>
      </c>
      <c r="C794" s="4">
        <f>MONTH(F794)</f>
        <v>2</v>
      </c>
      <c r="D794" s="4">
        <f>DAY(F794)</f>
        <v>5</v>
      </c>
      <c r="E794" s="4" t="str">
        <f t="shared" si="12"/>
        <v>Sunday</v>
      </c>
      <c r="F794" s="3">
        <v>44962</v>
      </c>
      <c r="G794" s="4" t="s">
        <v>825</v>
      </c>
      <c r="H794" s="4" t="s">
        <v>8</v>
      </c>
      <c r="I794" s="4">
        <v>54</v>
      </c>
      <c r="J794" s="4" t="str" cm="1">
        <f t="array" ref="J794">_xlfn.IFS(I794&lt;30,"Young Adult", I794&lt;50,"Adult",I794 &gt;=50,"Seniors")</f>
        <v>Seniors</v>
      </c>
      <c r="K794" s="4" t="s">
        <v>2</v>
      </c>
      <c r="L794" s="4">
        <v>1</v>
      </c>
      <c r="M794" s="5">
        <v>30</v>
      </c>
      <c r="N794">
        <f>L794*M794</f>
        <v>30</v>
      </c>
      <c r="O794" s="15">
        <f>N794*$R$3</f>
        <v>0.44999999999999996</v>
      </c>
    </row>
    <row r="795" spans="1:15">
      <c r="A795" s="2">
        <v>794</v>
      </c>
      <c r="B795" s="4">
        <f>YEAR(F795)</f>
        <v>2023</v>
      </c>
      <c r="C795" s="4">
        <f>MONTH(F795)</f>
        <v>9</v>
      </c>
      <c r="D795" s="4">
        <f>DAY(F795)</f>
        <v>17</v>
      </c>
      <c r="E795" s="4" t="str">
        <f t="shared" si="12"/>
        <v>Sunday</v>
      </c>
      <c r="F795" s="3">
        <v>45186</v>
      </c>
      <c r="G795" s="4" t="s">
        <v>826</v>
      </c>
      <c r="H795" s="4" t="s">
        <v>7</v>
      </c>
      <c r="I795" s="4">
        <v>60</v>
      </c>
      <c r="J795" s="4" t="str" cm="1">
        <f t="array" ref="J795">_xlfn.IFS(I795&lt;30,"Young Adult", I795&lt;50,"Adult",I795 &gt;=50,"Seniors")</f>
        <v>Seniors</v>
      </c>
      <c r="K795" s="4" t="s">
        <v>2</v>
      </c>
      <c r="L795" s="4">
        <v>1</v>
      </c>
      <c r="M795" s="5">
        <v>300</v>
      </c>
      <c r="N795">
        <f>L795*M795</f>
        <v>300</v>
      </c>
      <c r="O795" s="15">
        <f>N795*$R$3</f>
        <v>4.5</v>
      </c>
    </row>
    <row r="796" spans="1:15">
      <c r="A796" s="2">
        <v>795</v>
      </c>
      <c r="B796" s="4">
        <f>YEAR(F796)</f>
        <v>2023</v>
      </c>
      <c r="C796" s="4">
        <f>MONTH(F796)</f>
        <v>11</v>
      </c>
      <c r="D796" s="4">
        <f>DAY(F796)</f>
        <v>28</v>
      </c>
      <c r="E796" s="4" t="str">
        <f t="shared" si="12"/>
        <v>Tuesday</v>
      </c>
      <c r="F796" s="3">
        <v>45258</v>
      </c>
      <c r="G796" s="4" t="s">
        <v>827</v>
      </c>
      <c r="H796" s="4" t="s">
        <v>8</v>
      </c>
      <c r="I796" s="4">
        <v>57</v>
      </c>
      <c r="J796" s="4" t="str" cm="1">
        <f t="array" ref="J796">_xlfn.IFS(I796&lt;30,"Young Adult", I796&lt;50,"Adult",I796 &gt;=50,"Seniors")</f>
        <v>Seniors</v>
      </c>
      <c r="K796" s="4" t="s">
        <v>4</v>
      </c>
      <c r="L796" s="4">
        <v>1</v>
      </c>
      <c r="M796" s="5">
        <v>300</v>
      </c>
      <c r="N796">
        <f>L796*M796</f>
        <v>300</v>
      </c>
      <c r="O796" s="15">
        <f>N796*$R$3</f>
        <v>4.5</v>
      </c>
    </row>
    <row r="797" spans="1:15">
      <c r="A797" s="2">
        <v>796</v>
      </c>
      <c r="B797" s="4">
        <f>YEAR(F797)</f>
        <v>2023</v>
      </c>
      <c r="C797" s="4">
        <f>MONTH(F797)</f>
        <v>6</v>
      </c>
      <c r="D797" s="4">
        <f>DAY(F797)</f>
        <v>24</v>
      </c>
      <c r="E797" s="4" t="str">
        <f t="shared" si="12"/>
        <v>Saturday</v>
      </c>
      <c r="F797" s="3">
        <v>45101</v>
      </c>
      <c r="G797" s="4" t="s">
        <v>828</v>
      </c>
      <c r="H797" s="4" t="s">
        <v>8</v>
      </c>
      <c r="I797" s="4">
        <v>43</v>
      </c>
      <c r="J797" s="4" t="str" cm="1">
        <f t="array" ref="J797">_xlfn.IFS(I797&lt;30,"Young Adult", I797&lt;50,"Adult",I797 &gt;=50,"Seniors")</f>
        <v>Adult</v>
      </c>
      <c r="K797" s="4" t="s">
        <v>2</v>
      </c>
      <c r="L797" s="4">
        <v>4</v>
      </c>
      <c r="M797" s="5">
        <v>30</v>
      </c>
      <c r="N797">
        <f>L797*M797</f>
        <v>120</v>
      </c>
      <c r="O797" s="15">
        <f>N797*$R$3</f>
        <v>1.7999999999999998</v>
      </c>
    </row>
    <row r="798" spans="1:15">
      <c r="A798" s="2">
        <v>797</v>
      </c>
      <c r="B798" s="4">
        <f>YEAR(F798)</f>
        <v>2023</v>
      </c>
      <c r="C798" s="4">
        <f>MONTH(F798)</f>
        <v>1</v>
      </c>
      <c r="D798" s="4">
        <f>DAY(F798)</f>
        <v>7</v>
      </c>
      <c r="E798" s="4" t="str">
        <f t="shared" si="12"/>
        <v>Saturday</v>
      </c>
      <c r="F798" s="3">
        <v>44933</v>
      </c>
      <c r="G798" s="4" t="s">
        <v>829</v>
      </c>
      <c r="H798" s="4" t="s">
        <v>8</v>
      </c>
      <c r="I798" s="4">
        <v>40</v>
      </c>
      <c r="J798" s="4" t="str" cm="1">
        <f t="array" ref="J798">_xlfn.IFS(I798&lt;30,"Young Adult", I798&lt;50,"Adult",I798 &gt;=50,"Seniors")</f>
        <v>Adult</v>
      </c>
      <c r="K798" s="4" t="s">
        <v>3</v>
      </c>
      <c r="L798" s="4">
        <v>3</v>
      </c>
      <c r="M798" s="5">
        <v>25</v>
      </c>
      <c r="N798">
        <f>L798*M798</f>
        <v>75</v>
      </c>
      <c r="O798" s="15">
        <f>N798*$R$3</f>
        <v>1.125</v>
      </c>
    </row>
    <row r="799" spans="1:15">
      <c r="A799" s="2">
        <v>798</v>
      </c>
      <c r="B799" s="4">
        <f>YEAR(F799)</f>
        <v>2023</v>
      </c>
      <c r="C799" s="4">
        <f>MONTH(F799)</f>
        <v>8</v>
      </c>
      <c r="D799" s="4">
        <f>DAY(F799)</f>
        <v>4</v>
      </c>
      <c r="E799" s="4" t="str">
        <f t="shared" si="12"/>
        <v>Friday</v>
      </c>
      <c r="F799" s="3">
        <v>45142</v>
      </c>
      <c r="G799" s="4" t="s">
        <v>830</v>
      </c>
      <c r="H799" s="4" t="s">
        <v>8</v>
      </c>
      <c r="I799" s="4">
        <v>61</v>
      </c>
      <c r="J799" s="4" t="str" cm="1">
        <f t="array" ref="J799">_xlfn.IFS(I799&lt;30,"Young Adult", I799&lt;50,"Adult",I799 &gt;=50,"Seniors")</f>
        <v>Seniors</v>
      </c>
      <c r="K799" s="4" t="s">
        <v>3</v>
      </c>
      <c r="L799" s="4">
        <v>1</v>
      </c>
      <c r="M799" s="5">
        <v>50</v>
      </c>
      <c r="N799">
        <f>L799*M799</f>
        <v>50</v>
      </c>
      <c r="O799" s="15">
        <f>N799*$R$3</f>
        <v>0.75</v>
      </c>
    </row>
    <row r="800" spans="1:15">
      <c r="A800" s="2">
        <v>799</v>
      </c>
      <c r="B800" s="4">
        <f>YEAR(F800)</f>
        <v>2023</v>
      </c>
      <c r="C800" s="4">
        <f>MONTH(F800)</f>
        <v>9</v>
      </c>
      <c r="D800" s="4">
        <f>DAY(F800)</f>
        <v>8</v>
      </c>
      <c r="E800" s="4" t="str">
        <f t="shared" si="12"/>
        <v>Friday</v>
      </c>
      <c r="F800" s="3">
        <v>45177</v>
      </c>
      <c r="G800" s="4" t="s">
        <v>831</v>
      </c>
      <c r="H800" s="4" t="s">
        <v>8</v>
      </c>
      <c r="I800" s="4">
        <v>56</v>
      </c>
      <c r="J800" s="4" t="str" cm="1">
        <f t="array" ref="J800">_xlfn.IFS(I800&lt;30,"Young Adult", I800&lt;50,"Adult",I800 &gt;=50,"Seniors")</f>
        <v>Seniors</v>
      </c>
      <c r="K800" s="4" t="s">
        <v>4</v>
      </c>
      <c r="L800" s="4">
        <v>2</v>
      </c>
      <c r="M800" s="5">
        <v>50</v>
      </c>
      <c r="N800">
        <f>L800*M800</f>
        <v>100</v>
      </c>
      <c r="O800" s="15">
        <f>N800*$R$3</f>
        <v>1.5</v>
      </c>
    </row>
    <row r="801" spans="1:15">
      <c r="A801" s="2">
        <v>800</v>
      </c>
      <c r="B801" s="4">
        <f>YEAR(F801)</f>
        <v>2023</v>
      </c>
      <c r="C801" s="4">
        <f>MONTH(F801)</f>
        <v>2</v>
      </c>
      <c r="D801" s="4">
        <f>DAY(F801)</f>
        <v>24</v>
      </c>
      <c r="E801" s="4" t="str">
        <f t="shared" si="12"/>
        <v>Friday</v>
      </c>
      <c r="F801" s="3">
        <v>44981</v>
      </c>
      <c r="G801" s="4" t="s">
        <v>832</v>
      </c>
      <c r="H801" s="4" t="s">
        <v>8</v>
      </c>
      <c r="I801" s="4">
        <v>32</v>
      </c>
      <c r="J801" s="4" t="str" cm="1">
        <f t="array" ref="J801">_xlfn.IFS(I801&lt;30,"Young Adult", I801&lt;50,"Adult",I801 &gt;=50,"Seniors")</f>
        <v>Adult</v>
      </c>
      <c r="K801" s="4" t="s">
        <v>3</v>
      </c>
      <c r="L801" s="4">
        <v>4</v>
      </c>
      <c r="M801" s="5">
        <v>300</v>
      </c>
      <c r="N801">
        <f>L801*M801</f>
        <v>1200</v>
      </c>
      <c r="O801" s="15">
        <f>N801*$R$3</f>
        <v>18</v>
      </c>
    </row>
    <row r="802" spans="1:15">
      <c r="A802" s="2">
        <v>801</v>
      </c>
      <c r="B802" s="4">
        <f>YEAR(F802)</f>
        <v>2023</v>
      </c>
      <c r="C802" s="4">
        <f>MONTH(F802)</f>
        <v>8</v>
      </c>
      <c r="D802" s="4">
        <f>DAY(F802)</f>
        <v>10</v>
      </c>
      <c r="E802" s="4" t="str">
        <f t="shared" si="12"/>
        <v>Thursday</v>
      </c>
      <c r="F802" s="3">
        <v>45148</v>
      </c>
      <c r="G802" s="4" t="s">
        <v>833</v>
      </c>
      <c r="H802" s="4" t="s">
        <v>8</v>
      </c>
      <c r="I802" s="4">
        <v>21</v>
      </c>
      <c r="J802" s="4" t="str" cm="1">
        <f t="array" ref="J802">_xlfn.IFS(I802&lt;30,"Young Adult", I802&lt;50,"Adult",I802 &gt;=50,"Seniors")</f>
        <v>Young Adult</v>
      </c>
      <c r="K802" s="4" t="s">
        <v>3</v>
      </c>
      <c r="L802" s="4">
        <v>4</v>
      </c>
      <c r="M802" s="5">
        <v>50</v>
      </c>
      <c r="N802">
        <f>L802*M802</f>
        <v>200</v>
      </c>
      <c r="O802" s="15">
        <f>N802*$R$3</f>
        <v>3</v>
      </c>
    </row>
    <row r="803" spans="1:15">
      <c r="A803" s="2">
        <v>802</v>
      </c>
      <c r="B803" s="4">
        <f>YEAR(F803)</f>
        <v>2023</v>
      </c>
      <c r="C803" s="4">
        <f>MONTH(F803)</f>
        <v>7</v>
      </c>
      <c r="D803" s="4">
        <f>DAY(F803)</f>
        <v>5</v>
      </c>
      <c r="E803" s="4" t="str">
        <f t="shared" si="12"/>
        <v>Wednesday</v>
      </c>
      <c r="F803" s="3">
        <v>45112</v>
      </c>
      <c r="G803" s="4" t="s">
        <v>834</v>
      </c>
      <c r="H803" s="4" t="s">
        <v>7</v>
      </c>
      <c r="I803" s="4">
        <v>46</v>
      </c>
      <c r="J803" s="4" t="str" cm="1">
        <f t="array" ref="J803">_xlfn.IFS(I803&lt;30,"Young Adult", I803&lt;50,"Adult",I803 &gt;=50,"Seniors")</f>
        <v>Adult</v>
      </c>
      <c r="K803" s="4" t="s">
        <v>2</v>
      </c>
      <c r="L803" s="4">
        <v>1</v>
      </c>
      <c r="M803" s="5">
        <v>30</v>
      </c>
      <c r="N803">
        <f>L803*M803</f>
        <v>30</v>
      </c>
      <c r="O803" s="15">
        <f>N803*$R$3</f>
        <v>0.44999999999999996</v>
      </c>
    </row>
    <row r="804" spans="1:15">
      <c r="A804" s="2">
        <v>803</v>
      </c>
      <c r="B804" s="4">
        <f>YEAR(F804)</f>
        <v>2023</v>
      </c>
      <c r="C804" s="4">
        <f>MONTH(F804)</f>
        <v>11</v>
      </c>
      <c r="D804" s="4">
        <f>DAY(F804)</f>
        <v>22</v>
      </c>
      <c r="E804" s="4" t="str">
        <f t="shared" si="12"/>
        <v>Wednesday</v>
      </c>
      <c r="F804" s="3">
        <v>45252</v>
      </c>
      <c r="G804" s="4" t="s">
        <v>835</v>
      </c>
      <c r="H804" s="4" t="s">
        <v>8</v>
      </c>
      <c r="I804" s="4">
        <v>39</v>
      </c>
      <c r="J804" s="4" t="str" cm="1">
        <f t="array" ref="J804">_xlfn.IFS(I804&lt;30,"Young Adult", I804&lt;50,"Adult",I804 &gt;=50,"Seniors")</f>
        <v>Adult</v>
      </c>
      <c r="K804" s="4" t="s">
        <v>3</v>
      </c>
      <c r="L804" s="4">
        <v>4</v>
      </c>
      <c r="M804" s="5">
        <v>25</v>
      </c>
      <c r="N804">
        <f>L804*M804</f>
        <v>100</v>
      </c>
      <c r="O804" s="15">
        <f>N804*$R$3</f>
        <v>1.5</v>
      </c>
    </row>
    <row r="805" spans="1:15">
      <c r="A805" s="2">
        <v>804</v>
      </c>
      <c r="B805" s="4">
        <f>YEAR(F805)</f>
        <v>2023</v>
      </c>
      <c r="C805" s="4">
        <f>MONTH(F805)</f>
        <v>8</v>
      </c>
      <c r="D805" s="4">
        <f>DAY(F805)</f>
        <v>24</v>
      </c>
      <c r="E805" s="4" t="str">
        <f t="shared" si="12"/>
        <v>Thursday</v>
      </c>
      <c r="F805" s="3">
        <v>45162</v>
      </c>
      <c r="G805" s="4" t="s">
        <v>836</v>
      </c>
      <c r="H805" s="4" t="s">
        <v>8</v>
      </c>
      <c r="I805" s="4">
        <v>42</v>
      </c>
      <c r="J805" s="4" t="str" cm="1">
        <f t="array" ref="J805">_xlfn.IFS(I805&lt;30,"Young Adult", I805&lt;50,"Adult",I805 &gt;=50,"Seniors")</f>
        <v>Adult</v>
      </c>
      <c r="K805" s="4" t="s">
        <v>4</v>
      </c>
      <c r="L805" s="4">
        <v>1</v>
      </c>
      <c r="M805" s="5">
        <v>30</v>
      </c>
      <c r="N805">
        <f>L805*M805</f>
        <v>30</v>
      </c>
      <c r="O805" s="15">
        <f>N805*$R$3</f>
        <v>0.44999999999999996</v>
      </c>
    </row>
    <row r="806" spans="1:15">
      <c r="A806" s="2">
        <v>805</v>
      </c>
      <c r="B806" s="4">
        <f>YEAR(F806)</f>
        <v>2023</v>
      </c>
      <c r="C806" s="4">
        <f>MONTH(F806)</f>
        <v>12</v>
      </c>
      <c r="D806" s="4">
        <f>DAY(F806)</f>
        <v>29</v>
      </c>
      <c r="E806" s="4" t="str">
        <f t="shared" si="12"/>
        <v>Friday</v>
      </c>
      <c r="F806" s="3">
        <v>45289</v>
      </c>
      <c r="G806" s="4" t="s">
        <v>837</v>
      </c>
      <c r="H806" s="4" t="s">
        <v>7</v>
      </c>
      <c r="I806" s="4">
        <v>30</v>
      </c>
      <c r="J806" s="4" t="str" cm="1">
        <f t="array" ref="J806">_xlfn.IFS(I806&lt;30,"Young Adult", I806&lt;50,"Adult",I806 &gt;=50,"Seniors")</f>
        <v>Adult</v>
      </c>
      <c r="K806" s="4" t="s">
        <v>2</v>
      </c>
      <c r="L806" s="4">
        <v>3</v>
      </c>
      <c r="M806" s="5">
        <v>500</v>
      </c>
      <c r="N806">
        <f>L806*M806</f>
        <v>1500</v>
      </c>
      <c r="O806" s="15">
        <f>N806*$R$3</f>
        <v>22.5</v>
      </c>
    </row>
    <row r="807" spans="1:15">
      <c r="A807" s="2">
        <v>806</v>
      </c>
      <c r="B807" s="4">
        <f>YEAR(F807)</f>
        <v>2023</v>
      </c>
      <c r="C807" s="4">
        <f>MONTH(F807)</f>
        <v>3</v>
      </c>
      <c r="D807" s="4">
        <f>DAY(F807)</f>
        <v>20</v>
      </c>
      <c r="E807" s="4" t="str">
        <f t="shared" si="12"/>
        <v>Monday</v>
      </c>
      <c r="F807" s="3">
        <v>45005</v>
      </c>
      <c r="G807" s="4" t="s">
        <v>838</v>
      </c>
      <c r="H807" s="4" t="s">
        <v>7</v>
      </c>
      <c r="I807" s="4">
        <v>35</v>
      </c>
      <c r="J807" s="4" t="str" cm="1">
        <f t="array" ref="J807">_xlfn.IFS(I807&lt;30,"Young Adult", I807&lt;50,"Adult",I807 &gt;=50,"Seniors")</f>
        <v>Adult</v>
      </c>
      <c r="K807" s="4" t="s">
        <v>2</v>
      </c>
      <c r="L807" s="4">
        <v>3</v>
      </c>
      <c r="M807" s="5">
        <v>300</v>
      </c>
      <c r="N807">
        <f>L807*M807</f>
        <v>900</v>
      </c>
      <c r="O807" s="15">
        <f>N807*$R$3</f>
        <v>13.5</v>
      </c>
    </row>
    <row r="808" spans="1:15">
      <c r="A808" s="2">
        <v>807</v>
      </c>
      <c r="B808" s="4">
        <f>YEAR(F808)</f>
        <v>2023</v>
      </c>
      <c r="C808" s="4">
        <f>MONTH(F808)</f>
        <v>8</v>
      </c>
      <c r="D808" s="4">
        <f>DAY(F808)</f>
        <v>11</v>
      </c>
      <c r="E808" s="4" t="str">
        <f t="shared" si="12"/>
        <v>Friday</v>
      </c>
      <c r="F808" s="3">
        <v>45149</v>
      </c>
      <c r="G808" s="4" t="s">
        <v>839</v>
      </c>
      <c r="H808" s="4" t="s">
        <v>7</v>
      </c>
      <c r="I808" s="4">
        <v>50</v>
      </c>
      <c r="J808" s="4" t="str" cm="1">
        <f t="array" ref="J808">_xlfn.IFS(I808&lt;30,"Young Adult", I808&lt;50,"Adult",I808 &gt;=50,"Seniors")</f>
        <v>Seniors</v>
      </c>
      <c r="K808" s="4" t="s">
        <v>4</v>
      </c>
      <c r="L808" s="4">
        <v>4</v>
      </c>
      <c r="M808" s="5">
        <v>50</v>
      </c>
      <c r="N808">
        <f>L808*M808</f>
        <v>200</v>
      </c>
      <c r="O808" s="15">
        <f>N808*$R$3</f>
        <v>3</v>
      </c>
    </row>
    <row r="809" spans="1:15">
      <c r="A809" s="2">
        <v>808</v>
      </c>
      <c r="B809" s="4">
        <f>YEAR(F809)</f>
        <v>2023</v>
      </c>
      <c r="C809" s="4">
        <f>MONTH(F809)</f>
        <v>4</v>
      </c>
      <c r="D809" s="4">
        <f>DAY(F809)</f>
        <v>1</v>
      </c>
      <c r="E809" s="4" t="str">
        <f t="shared" si="12"/>
        <v>Saturday</v>
      </c>
      <c r="F809" s="3">
        <v>45017</v>
      </c>
      <c r="G809" s="4" t="s">
        <v>840</v>
      </c>
      <c r="H809" s="4" t="s">
        <v>8</v>
      </c>
      <c r="I809" s="4">
        <v>33</v>
      </c>
      <c r="J809" s="4" t="str" cm="1">
        <f t="array" ref="J809">_xlfn.IFS(I809&lt;30,"Young Adult", I809&lt;50,"Adult",I809 &gt;=50,"Seniors")</f>
        <v>Adult</v>
      </c>
      <c r="K809" s="4" t="s">
        <v>2</v>
      </c>
      <c r="L809" s="4">
        <v>4</v>
      </c>
      <c r="M809" s="5">
        <v>500</v>
      </c>
      <c r="N809">
        <f>L809*M809</f>
        <v>2000</v>
      </c>
      <c r="O809" s="15">
        <f>N809*$R$3</f>
        <v>30</v>
      </c>
    </row>
    <row r="810" spans="1:15">
      <c r="A810" s="2">
        <v>809</v>
      </c>
      <c r="B810" s="4">
        <f>YEAR(F810)</f>
        <v>2023</v>
      </c>
      <c r="C810" s="4">
        <f>MONTH(F810)</f>
        <v>9</v>
      </c>
      <c r="D810" s="4">
        <f>DAY(F810)</f>
        <v>25</v>
      </c>
      <c r="E810" s="4" t="str">
        <f t="shared" si="12"/>
        <v>Monday</v>
      </c>
      <c r="F810" s="3">
        <v>45194</v>
      </c>
      <c r="G810" s="4" t="s">
        <v>841</v>
      </c>
      <c r="H810" s="4" t="s">
        <v>7</v>
      </c>
      <c r="I810" s="4">
        <v>62</v>
      </c>
      <c r="J810" s="4" t="str" cm="1">
        <f t="array" ref="J810">_xlfn.IFS(I810&lt;30,"Young Adult", I810&lt;50,"Adult",I810 &gt;=50,"Seniors")</f>
        <v>Seniors</v>
      </c>
      <c r="K810" s="4" t="s">
        <v>2</v>
      </c>
      <c r="L810" s="4">
        <v>2</v>
      </c>
      <c r="M810" s="5">
        <v>50</v>
      </c>
      <c r="N810">
        <f>L810*M810</f>
        <v>100</v>
      </c>
      <c r="O810" s="15">
        <f>N810*$R$3</f>
        <v>1.5</v>
      </c>
    </row>
    <row r="811" spans="1:15">
      <c r="A811" s="2">
        <v>810</v>
      </c>
      <c r="B811" s="4">
        <f>YEAR(F811)</f>
        <v>2023</v>
      </c>
      <c r="C811" s="4">
        <f>MONTH(F811)</f>
        <v>11</v>
      </c>
      <c r="D811" s="4">
        <f>DAY(F811)</f>
        <v>30</v>
      </c>
      <c r="E811" s="4" t="str">
        <f t="shared" si="12"/>
        <v>Thursday</v>
      </c>
      <c r="F811" s="3">
        <v>45260</v>
      </c>
      <c r="G811" s="4" t="s">
        <v>842</v>
      </c>
      <c r="H811" s="4" t="s">
        <v>8</v>
      </c>
      <c r="I811" s="4">
        <v>59</v>
      </c>
      <c r="J811" s="4" t="str" cm="1">
        <f t="array" ref="J811">_xlfn.IFS(I811&lt;30,"Young Adult", I811&lt;50,"Adult",I811 &gt;=50,"Seniors")</f>
        <v>Seniors</v>
      </c>
      <c r="K811" s="4" t="s">
        <v>4</v>
      </c>
      <c r="L811" s="4">
        <v>4</v>
      </c>
      <c r="M811" s="5">
        <v>25</v>
      </c>
      <c r="N811">
        <f>L811*M811</f>
        <v>100</v>
      </c>
      <c r="O811" s="15">
        <f>N811*$R$3</f>
        <v>1.5</v>
      </c>
    </row>
    <row r="812" spans="1:15">
      <c r="A812" s="2">
        <v>811</v>
      </c>
      <c r="B812" s="4">
        <f>YEAR(F812)</f>
        <v>2023</v>
      </c>
      <c r="C812" s="4">
        <f>MONTH(F812)</f>
        <v>5</v>
      </c>
      <c r="D812" s="4">
        <f>DAY(F812)</f>
        <v>19</v>
      </c>
      <c r="E812" s="4" t="str">
        <f t="shared" si="12"/>
        <v>Friday</v>
      </c>
      <c r="F812" s="3">
        <v>45065</v>
      </c>
      <c r="G812" s="4" t="s">
        <v>843</v>
      </c>
      <c r="H812" s="4" t="s">
        <v>8</v>
      </c>
      <c r="I812" s="4">
        <v>61</v>
      </c>
      <c r="J812" s="4" t="str" cm="1">
        <f t="array" ref="J812">_xlfn.IFS(I812&lt;30,"Young Adult", I812&lt;50,"Adult",I812 &gt;=50,"Seniors")</f>
        <v>Seniors</v>
      </c>
      <c r="K812" s="4" t="s">
        <v>2</v>
      </c>
      <c r="L812" s="4">
        <v>2</v>
      </c>
      <c r="M812" s="5">
        <v>25</v>
      </c>
      <c r="N812">
        <f>L812*M812</f>
        <v>50</v>
      </c>
      <c r="O812" s="15">
        <f>N812*$R$3</f>
        <v>0.75</v>
      </c>
    </row>
    <row r="813" spans="1:15">
      <c r="A813" s="2">
        <v>812</v>
      </c>
      <c r="B813" s="4">
        <f>YEAR(F813)</f>
        <v>2023</v>
      </c>
      <c r="C813" s="4">
        <f>MONTH(F813)</f>
        <v>11</v>
      </c>
      <c r="D813" s="4">
        <f>DAY(F813)</f>
        <v>12</v>
      </c>
      <c r="E813" s="4" t="str">
        <f t="shared" si="12"/>
        <v>Sunday</v>
      </c>
      <c r="F813" s="3">
        <v>45242</v>
      </c>
      <c r="G813" s="4" t="s">
        <v>844</v>
      </c>
      <c r="H813" s="4" t="s">
        <v>8</v>
      </c>
      <c r="I813" s="4">
        <v>19</v>
      </c>
      <c r="J813" s="4" t="str" cm="1">
        <f t="array" ref="J813">_xlfn.IFS(I813&lt;30,"Young Adult", I813&lt;50,"Adult",I813 &gt;=50,"Seniors")</f>
        <v>Young Adult</v>
      </c>
      <c r="K813" s="4" t="s">
        <v>4</v>
      </c>
      <c r="L813" s="4">
        <v>3</v>
      </c>
      <c r="M813" s="5">
        <v>25</v>
      </c>
      <c r="N813">
        <f>L813*M813</f>
        <v>75</v>
      </c>
      <c r="O813" s="15">
        <f>N813*$R$3</f>
        <v>1.125</v>
      </c>
    </row>
    <row r="814" spans="1:15">
      <c r="A814" s="2">
        <v>813</v>
      </c>
      <c r="B814" s="4">
        <f>YEAR(F814)</f>
        <v>2023</v>
      </c>
      <c r="C814" s="4">
        <f>MONTH(F814)</f>
        <v>10</v>
      </c>
      <c r="D814" s="4">
        <f>DAY(F814)</f>
        <v>3</v>
      </c>
      <c r="E814" s="4" t="str">
        <f t="shared" si="12"/>
        <v>Tuesday</v>
      </c>
      <c r="F814" s="3">
        <v>45202</v>
      </c>
      <c r="G814" s="4" t="s">
        <v>845</v>
      </c>
      <c r="H814" s="4" t="s">
        <v>8</v>
      </c>
      <c r="I814" s="4">
        <v>52</v>
      </c>
      <c r="J814" s="4" t="str" cm="1">
        <f t="array" ref="J814">_xlfn.IFS(I814&lt;30,"Young Adult", I814&lt;50,"Adult",I814 &gt;=50,"Seniors")</f>
        <v>Seniors</v>
      </c>
      <c r="K814" s="4" t="s">
        <v>4</v>
      </c>
      <c r="L814" s="4">
        <v>3</v>
      </c>
      <c r="M814" s="5">
        <v>50</v>
      </c>
      <c r="N814">
        <f>L814*M814</f>
        <v>150</v>
      </c>
      <c r="O814" s="15">
        <f>N814*$R$3</f>
        <v>2.25</v>
      </c>
    </row>
    <row r="815" spans="1:15">
      <c r="A815" s="2">
        <v>814</v>
      </c>
      <c r="B815" s="4">
        <f>YEAR(F815)</f>
        <v>2023</v>
      </c>
      <c r="C815" s="4">
        <f>MONTH(F815)</f>
        <v>9</v>
      </c>
      <c r="D815" s="4">
        <f>DAY(F815)</f>
        <v>5</v>
      </c>
      <c r="E815" s="4" t="str">
        <f t="shared" si="12"/>
        <v>Tuesday</v>
      </c>
      <c r="F815" s="3">
        <v>45174</v>
      </c>
      <c r="G815" s="4" t="s">
        <v>846</v>
      </c>
      <c r="H815" s="4" t="s">
        <v>7</v>
      </c>
      <c r="I815" s="4">
        <v>59</v>
      </c>
      <c r="J815" s="4" t="str" cm="1">
        <f t="array" ref="J815">_xlfn.IFS(I815&lt;30,"Young Adult", I815&lt;50,"Adult",I815 &gt;=50,"Seniors")</f>
        <v>Seniors</v>
      </c>
      <c r="K815" s="4" t="s">
        <v>3</v>
      </c>
      <c r="L815" s="4">
        <v>1</v>
      </c>
      <c r="M815" s="5">
        <v>500</v>
      </c>
      <c r="N815">
        <f>L815*M815</f>
        <v>500</v>
      </c>
      <c r="O815" s="15">
        <f>N815*$R$3</f>
        <v>7.5</v>
      </c>
    </row>
    <row r="816" spans="1:15">
      <c r="A816" s="2">
        <v>815</v>
      </c>
      <c r="B816" s="4">
        <f>YEAR(F816)</f>
        <v>2023</v>
      </c>
      <c r="C816" s="4">
        <f>MONTH(F816)</f>
        <v>8</v>
      </c>
      <c r="D816" s="4">
        <f>DAY(F816)</f>
        <v>27</v>
      </c>
      <c r="E816" s="4" t="str">
        <f t="shared" si="12"/>
        <v>Sunday</v>
      </c>
      <c r="F816" s="3">
        <v>45165</v>
      </c>
      <c r="G816" s="4" t="s">
        <v>847</v>
      </c>
      <c r="H816" s="4" t="s">
        <v>7</v>
      </c>
      <c r="I816" s="4">
        <v>51</v>
      </c>
      <c r="J816" s="4" t="str" cm="1">
        <f t="array" ref="J816">_xlfn.IFS(I816&lt;30,"Young Adult", I816&lt;50,"Adult",I816 &gt;=50,"Seniors")</f>
        <v>Seniors</v>
      </c>
      <c r="K816" s="4" t="s">
        <v>3</v>
      </c>
      <c r="L816" s="4">
        <v>3</v>
      </c>
      <c r="M816" s="5">
        <v>25</v>
      </c>
      <c r="N816">
        <f>L816*M816</f>
        <v>75</v>
      </c>
      <c r="O816" s="15">
        <f>N816*$R$3</f>
        <v>1.125</v>
      </c>
    </row>
    <row r="817" spans="1:15">
      <c r="A817" s="2">
        <v>816</v>
      </c>
      <c r="B817" s="4">
        <f>YEAR(F817)</f>
        <v>2023</v>
      </c>
      <c r="C817" s="4">
        <f>MONTH(F817)</f>
        <v>8</v>
      </c>
      <c r="D817" s="4">
        <f>DAY(F817)</f>
        <v>12</v>
      </c>
      <c r="E817" s="4" t="str">
        <f t="shared" si="12"/>
        <v>Saturday</v>
      </c>
      <c r="F817" s="3">
        <v>45150</v>
      </c>
      <c r="G817" s="4" t="s">
        <v>848</v>
      </c>
      <c r="H817" s="4" t="s">
        <v>8</v>
      </c>
      <c r="I817" s="4">
        <v>47</v>
      </c>
      <c r="J817" s="4" t="str" cm="1">
        <f t="array" ref="J817">_xlfn.IFS(I817&lt;30,"Young Adult", I817&lt;50,"Adult",I817 &gt;=50,"Seniors")</f>
        <v>Adult</v>
      </c>
      <c r="K817" s="4" t="s">
        <v>2</v>
      </c>
      <c r="L817" s="4">
        <v>2</v>
      </c>
      <c r="M817" s="5">
        <v>500</v>
      </c>
      <c r="N817">
        <f>L817*M817</f>
        <v>1000</v>
      </c>
      <c r="O817" s="15">
        <f>N817*$R$3</f>
        <v>15</v>
      </c>
    </row>
    <row r="818" spans="1:15">
      <c r="A818" s="2">
        <v>817</v>
      </c>
      <c r="B818" s="4">
        <f>YEAR(F818)</f>
        <v>2023</v>
      </c>
      <c r="C818" s="4">
        <f>MONTH(F818)</f>
        <v>10</v>
      </c>
      <c r="D818" s="4">
        <f>DAY(F818)</f>
        <v>31</v>
      </c>
      <c r="E818" s="4" t="str">
        <f t="shared" si="12"/>
        <v>Tuesday</v>
      </c>
      <c r="F818" s="3">
        <v>45230</v>
      </c>
      <c r="G818" s="4" t="s">
        <v>849</v>
      </c>
      <c r="H818" s="4" t="s">
        <v>8</v>
      </c>
      <c r="I818" s="4">
        <v>30</v>
      </c>
      <c r="J818" s="4" t="str" cm="1">
        <f t="array" ref="J818">_xlfn.IFS(I818&lt;30,"Young Adult", I818&lt;50,"Adult",I818 &gt;=50,"Seniors")</f>
        <v>Adult</v>
      </c>
      <c r="K818" s="4" t="s">
        <v>2</v>
      </c>
      <c r="L818" s="4">
        <v>4</v>
      </c>
      <c r="M818" s="5">
        <v>50</v>
      </c>
      <c r="N818">
        <f>L818*M818</f>
        <v>200</v>
      </c>
      <c r="O818" s="15">
        <f>N818*$R$3</f>
        <v>3</v>
      </c>
    </row>
    <row r="819" spans="1:15">
      <c r="A819" s="2">
        <v>818</v>
      </c>
      <c r="B819" s="4">
        <f>YEAR(F819)</f>
        <v>2023</v>
      </c>
      <c r="C819" s="4">
        <f>MONTH(F819)</f>
        <v>5</v>
      </c>
      <c r="D819" s="4">
        <f>DAY(F819)</f>
        <v>18</v>
      </c>
      <c r="E819" s="4" t="str">
        <f t="shared" si="12"/>
        <v>Thursday</v>
      </c>
      <c r="F819" s="3">
        <v>45064</v>
      </c>
      <c r="G819" s="4" t="s">
        <v>850</v>
      </c>
      <c r="H819" s="4" t="s">
        <v>8</v>
      </c>
      <c r="I819" s="4">
        <v>30</v>
      </c>
      <c r="J819" s="4" t="str" cm="1">
        <f t="array" ref="J819">_xlfn.IFS(I819&lt;30,"Young Adult", I819&lt;50,"Adult",I819 &gt;=50,"Seniors")</f>
        <v>Adult</v>
      </c>
      <c r="K819" s="4" t="s">
        <v>4</v>
      </c>
      <c r="L819" s="4">
        <v>1</v>
      </c>
      <c r="M819" s="5">
        <v>500</v>
      </c>
      <c r="N819">
        <f>L819*M819</f>
        <v>500</v>
      </c>
      <c r="O819" s="15">
        <f>N819*$R$3</f>
        <v>7.5</v>
      </c>
    </row>
    <row r="820" spans="1:15">
      <c r="A820" s="2">
        <v>819</v>
      </c>
      <c r="B820" s="4">
        <f>YEAR(F820)</f>
        <v>2023</v>
      </c>
      <c r="C820" s="4">
        <f>MONTH(F820)</f>
        <v>6</v>
      </c>
      <c r="D820" s="4">
        <f>DAY(F820)</f>
        <v>15</v>
      </c>
      <c r="E820" s="4" t="str">
        <f t="shared" si="12"/>
        <v>Thursday</v>
      </c>
      <c r="F820" s="3">
        <v>45092</v>
      </c>
      <c r="G820" s="4" t="s">
        <v>851</v>
      </c>
      <c r="H820" s="4" t="s">
        <v>7</v>
      </c>
      <c r="I820" s="4">
        <v>35</v>
      </c>
      <c r="J820" s="4" t="str" cm="1">
        <f t="array" ref="J820">_xlfn.IFS(I820&lt;30,"Young Adult", I820&lt;50,"Adult",I820 &gt;=50,"Seniors")</f>
        <v>Adult</v>
      </c>
      <c r="K820" s="4" t="s">
        <v>2</v>
      </c>
      <c r="L820" s="4">
        <v>2</v>
      </c>
      <c r="M820" s="5">
        <v>50</v>
      </c>
      <c r="N820">
        <f>L820*M820</f>
        <v>100</v>
      </c>
      <c r="O820" s="15">
        <f>N820*$R$3</f>
        <v>1.5</v>
      </c>
    </row>
    <row r="821" spans="1:15">
      <c r="A821" s="2">
        <v>820</v>
      </c>
      <c r="B821" s="4">
        <f>YEAR(F821)</f>
        <v>2023</v>
      </c>
      <c r="C821" s="4">
        <f>MONTH(F821)</f>
        <v>5</v>
      </c>
      <c r="D821" s="4">
        <f>DAY(F821)</f>
        <v>6</v>
      </c>
      <c r="E821" s="4" t="str">
        <f t="shared" si="12"/>
        <v>Saturday</v>
      </c>
      <c r="F821" s="3">
        <v>45052</v>
      </c>
      <c r="G821" s="4" t="s">
        <v>852</v>
      </c>
      <c r="H821" s="4" t="s">
        <v>8</v>
      </c>
      <c r="I821" s="4">
        <v>49</v>
      </c>
      <c r="J821" s="4" t="str" cm="1">
        <f t="array" ref="J821">_xlfn.IFS(I821&lt;30,"Young Adult", I821&lt;50,"Adult",I821 &gt;=50,"Seniors")</f>
        <v>Adult</v>
      </c>
      <c r="K821" s="4" t="s">
        <v>4</v>
      </c>
      <c r="L821" s="4">
        <v>4</v>
      </c>
      <c r="M821" s="5">
        <v>50</v>
      </c>
      <c r="N821">
        <f>L821*M821</f>
        <v>200</v>
      </c>
      <c r="O821" s="15">
        <f>N821*$R$3</f>
        <v>3</v>
      </c>
    </row>
    <row r="822" spans="1:15">
      <c r="A822" s="2">
        <v>821</v>
      </c>
      <c r="B822" s="4">
        <f>YEAR(F822)</f>
        <v>2023</v>
      </c>
      <c r="C822" s="4">
        <f>MONTH(F822)</f>
        <v>2</v>
      </c>
      <c r="D822" s="4">
        <f>DAY(F822)</f>
        <v>14</v>
      </c>
      <c r="E822" s="4" t="str">
        <f t="shared" si="12"/>
        <v>Tuesday</v>
      </c>
      <c r="F822" s="3">
        <v>44971</v>
      </c>
      <c r="G822" s="4" t="s">
        <v>853</v>
      </c>
      <c r="H822" s="4" t="s">
        <v>8</v>
      </c>
      <c r="I822" s="4">
        <v>49</v>
      </c>
      <c r="J822" s="4" t="str" cm="1">
        <f t="array" ref="J822">_xlfn.IFS(I822&lt;30,"Young Adult", I822&lt;50,"Adult",I822 &gt;=50,"Seniors")</f>
        <v>Adult</v>
      </c>
      <c r="K822" s="4" t="s">
        <v>4</v>
      </c>
      <c r="L822" s="4">
        <v>1</v>
      </c>
      <c r="M822" s="5">
        <v>300</v>
      </c>
      <c r="N822">
        <f>L822*M822</f>
        <v>300</v>
      </c>
      <c r="O822" s="15">
        <f>N822*$R$3</f>
        <v>4.5</v>
      </c>
    </row>
    <row r="823" spans="1:15">
      <c r="A823" s="2">
        <v>822</v>
      </c>
      <c r="B823" s="4">
        <f>YEAR(F823)</f>
        <v>2023</v>
      </c>
      <c r="C823" s="4">
        <f>MONTH(F823)</f>
        <v>5</v>
      </c>
      <c r="D823" s="4">
        <f>DAY(F823)</f>
        <v>23</v>
      </c>
      <c r="E823" s="4" t="str">
        <f t="shared" si="12"/>
        <v>Tuesday</v>
      </c>
      <c r="F823" s="3">
        <v>45069</v>
      </c>
      <c r="G823" s="4" t="s">
        <v>854</v>
      </c>
      <c r="H823" s="4" t="s">
        <v>7</v>
      </c>
      <c r="I823" s="4">
        <v>52</v>
      </c>
      <c r="J823" s="4" t="str" cm="1">
        <f t="array" ref="J823">_xlfn.IFS(I823&lt;30,"Young Adult", I823&lt;50,"Adult",I823 &gt;=50,"Seniors")</f>
        <v>Seniors</v>
      </c>
      <c r="K823" s="4" t="s">
        <v>2</v>
      </c>
      <c r="L823" s="4">
        <v>3</v>
      </c>
      <c r="M823" s="5">
        <v>50</v>
      </c>
      <c r="N823">
        <f>L823*M823</f>
        <v>150</v>
      </c>
      <c r="O823" s="15">
        <f>N823*$R$3</f>
        <v>2.25</v>
      </c>
    </row>
    <row r="824" spans="1:15">
      <c r="A824" s="2">
        <v>823</v>
      </c>
      <c r="B824" s="4">
        <f>YEAR(F824)</f>
        <v>2023</v>
      </c>
      <c r="C824" s="4">
        <f>MONTH(F824)</f>
        <v>8</v>
      </c>
      <c r="D824" s="4">
        <f>DAY(F824)</f>
        <v>19</v>
      </c>
      <c r="E824" s="4" t="str">
        <f t="shared" si="12"/>
        <v>Saturday</v>
      </c>
      <c r="F824" s="3">
        <v>45157</v>
      </c>
      <c r="G824" s="4" t="s">
        <v>855</v>
      </c>
      <c r="H824" s="4" t="s">
        <v>7</v>
      </c>
      <c r="I824" s="4">
        <v>56</v>
      </c>
      <c r="J824" s="4" t="str" cm="1">
        <f t="array" ref="J824">_xlfn.IFS(I824&lt;30,"Young Adult", I824&lt;50,"Adult",I824 &gt;=50,"Seniors")</f>
        <v>Seniors</v>
      </c>
      <c r="K824" s="4" t="s">
        <v>4</v>
      </c>
      <c r="L824" s="4">
        <v>2</v>
      </c>
      <c r="M824" s="5">
        <v>50</v>
      </c>
      <c r="N824">
        <f>L824*M824</f>
        <v>100</v>
      </c>
      <c r="O824" s="15">
        <f>N824*$R$3</f>
        <v>1.5</v>
      </c>
    </row>
    <row r="825" spans="1:15">
      <c r="A825" s="2">
        <v>824</v>
      </c>
      <c r="B825" s="4">
        <f>YEAR(F825)</f>
        <v>2023</v>
      </c>
      <c r="C825" s="4">
        <f>MONTH(F825)</f>
        <v>5</v>
      </c>
      <c r="D825" s="4">
        <f>DAY(F825)</f>
        <v>5</v>
      </c>
      <c r="E825" s="4" t="str">
        <f t="shared" si="12"/>
        <v>Friday</v>
      </c>
      <c r="F825" s="3">
        <v>45051</v>
      </c>
      <c r="G825" s="4" t="s">
        <v>856</v>
      </c>
      <c r="H825" s="4" t="s">
        <v>8</v>
      </c>
      <c r="I825" s="4">
        <v>63</v>
      </c>
      <c r="J825" s="4" t="str" cm="1">
        <f t="array" ref="J825">_xlfn.IFS(I825&lt;30,"Young Adult", I825&lt;50,"Adult",I825 &gt;=50,"Seniors")</f>
        <v>Seniors</v>
      </c>
      <c r="K825" s="4" t="s">
        <v>3</v>
      </c>
      <c r="L825" s="4">
        <v>4</v>
      </c>
      <c r="M825" s="5">
        <v>30</v>
      </c>
      <c r="N825">
        <f>L825*M825</f>
        <v>120</v>
      </c>
      <c r="O825" s="15">
        <f>N825*$R$3</f>
        <v>1.7999999999999998</v>
      </c>
    </row>
    <row r="826" spans="1:15">
      <c r="A826" s="2">
        <v>825</v>
      </c>
      <c r="B826" s="4">
        <f>YEAR(F826)</f>
        <v>2023</v>
      </c>
      <c r="C826" s="4">
        <f>MONTH(F826)</f>
        <v>8</v>
      </c>
      <c r="D826" s="4">
        <f>DAY(F826)</f>
        <v>26</v>
      </c>
      <c r="E826" s="4" t="str">
        <f t="shared" si="12"/>
        <v>Saturday</v>
      </c>
      <c r="F826" s="3">
        <v>45164</v>
      </c>
      <c r="G826" s="4" t="s">
        <v>857</v>
      </c>
      <c r="H826" s="4" t="s">
        <v>7</v>
      </c>
      <c r="I826" s="4">
        <v>46</v>
      </c>
      <c r="J826" s="4" t="str" cm="1">
        <f t="array" ref="J826">_xlfn.IFS(I826&lt;30,"Young Adult", I826&lt;50,"Adult",I826 &gt;=50,"Seniors")</f>
        <v>Adult</v>
      </c>
      <c r="K826" s="4" t="s">
        <v>2</v>
      </c>
      <c r="L826" s="4">
        <v>1</v>
      </c>
      <c r="M826" s="5">
        <v>25</v>
      </c>
      <c r="N826">
        <f>L826*M826</f>
        <v>25</v>
      </c>
      <c r="O826" s="15">
        <f>N826*$R$3</f>
        <v>0.375</v>
      </c>
    </row>
    <row r="827" spans="1:15">
      <c r="A827" s="2">
        <v>826</v>
      </c>
      <c r="B827" s="4">
        <f>YEAR(F827)</f>
        <v>2023</v>
      </c>
      <c r="C827" s="4">
        <f>MONTH(F827)</f>
        <v>10</v>
      </c>
      <c r="D827" s="4">
        <f>DAY(F827)</f>
        <v>19</v>
      </c>
      <c r="E827" s="4" t="str">
        <f t="shared" si="12"/>
        <v>Thursday</v>
      </c>
      <c r="F827" s="3">
        <v>45218</v>
      </c>
      <c r="G827" s="4" t="s">
        <v>858</v>
      </c>
      <c r="H827" s="4" t="s">
        <v>7</v>
      </c>
      <c r="I827" s="4">
        <v>46</v>
      </c>
      <c r="J827" s="4" t="str" cm="1">
        <f t="array" ref="J827">_xlfn.IFS(I827&lt;30,"Young Adult", I827&lt;50,"Adult",I827 &gt;=50,"Seniors")</f>
        <v>Adult</v>
      </c>
      <c r="K827" s="4" t="s">
        <v>3</v>
      </c>
      <c r="L827" s="4">
        <v>1</v>
      </c>
      <c r="M827" s="5">
        <v>300</v>
      </c>
      <c r="N827">
        <f>L827*M827</f>
        <v>300</v>
      </c>
      <c r="O827" s="15">
        <f>N827*$R$3</f>
        <v>4.5</v>
      </c>
    </row>
    <row r="828" spans="1:15">
      <c r="A828" s="2">
        <v>827</v>
      </c>
      <c r="B828" s="4">
        <f>YEAR(F828)</f>
        <v>2023</v>
      </c>
      <c r="C828" s="4">
        <f>MONTH(F828)</f>
        <v>11</v>
      </c>
      <c r="D828" s="4">
        <f>DAY(F828)</f>
        <v>9</v>
      </c>
      <c r="E828" s="4" t="str">
        <f t="shared" si="12"/>
        <v>Thursday</v>
      </c>
      <c r="F828" s="3">
        <v>45239</v>
      </c>
      <c r="G828" s="4" t="s">
        <v>859</v>
      </c>
      <c r="H828" s="4" t="s">
        <v>8</v>
      </c>
      <c r="I828" s="4">
        <v>61</v>
      </c>
      <c r="J828" s="4" t="str" cm="1">
        <f t="array" ref="J828">_xlfn.IFS(I828&lt;30,"Young Adult", I828&lt;50,"Adult",I828 &gt;=50,"Seniors")</f>
        <v>Seniors</v>
      </c>
      <c r="K828" s="4" t="s">
        <v>2</v>
      </c>
      <c r="L828" s="4">
        <v>3</v>
      </c>
      <c r="M828" s="5">
        <v>300</v>
      </c>
      <c r="N828">
        <f>L828*M828</f>
        <v>900</v>
      </c>
      <c r="O828" s="15">
        <f>N828*$R$3</f>
        <v>13.5</v>
      </c>
    </row>
    <row r="829" spans="1:15">
      <c r="A829" s="2">
        <v>828</v>
      </c>
      <c r="B829" s="4">
        <f>YEAR(F829)</f>
        <v>2023</v>
      </c>
      <c r="C829" s="4">
        <f>MONTH(F829)</f>
        <v>12</v>
      </c>
      <c r="D829" s="4">
        <f>DAY(F829)</f>
        <v>9</v>
      </c>
      <c r="E829" s="4" t="str">
        <f t="shared" si="12"/>
        <v>Saturday</v>
      </c>
      <c r="F829" s="3">
        <v>45269</v>
      </c>
      <c r="G829" s="4" t="s">
        <v>860</v>
      </c>
      <c r="H829" s="4" t="s">
        <v>7</v>
      </c>
      <c r="I829" s="4">
        <v>33</v>
      </c>
      <c r="J829" s="4" t="str" cm="1">
        <f t="array" ref="J829">_xlfn.IFS(I829&lt;30,"Young Adult", I829&lt;50,"Adult",I829 &gt;=50,"Seniors")</f>
        <v>Adult</v>
      </c>
      <c r="K829" s="4" t="s">
        <v>4</v>
      </c>
      <c r="L829" s="4">
        <v>4</v>
      </c>
      <c r="M829" s="5">
        <v>300</v>
      </c>
      <c r="N829">
        <f>L829*M829</f>
        <v>1200</v>
      </c>
      <c r="O829" s="15">
        <f>N829*$R$3</f>
        <v>18</v>
      </c>
    </row>
    <row r="830" spans="1:15">
      <c r="A830" s="2">
        <v>829</v>
      </c>
      <c r="B830" s="4">
        <f>YEAR(F830)</f>
        <v>2023</v>
      </c>
      <c r="C830" s="4">
        <f>MONTH(F830)</f>
        <v>7</v>
      </c>
      <c r="D830" s="4">
        <f>DAY(F830)</f>
        <v>14</v>
      </c>
      <c r="E830" s="4" t="str">
        <f t="shared" si="12"/>
        <v>Friday</v>
      </c>
      <c r="F830" s="3">
        <v>45121</v>
      </c>
      <c r="G830" s="4" t="s">
        <v>861</v>
      </c>
      <c r="H830" s="4" t="s">
        <v>8</v>
      </c>
      <c r="I830" s="4">
        <v>61</v>
      </c>
      <c r="J830" s="4" t="str" cm="1">
        <f t="array" ref="J830">_xlfn.IFS(I830&lt;30,"Young Adult", I830&lt;50,"Adult",I830 &gt;=50,"Seniors")</f>
        <v>Seniors</v>
      </c>
      <c r="K830" s="4" t="s">
        <v>2</v>
      </c>
      <c r="L830" s="4">
        <v>3</v>
      </c>
      <c r="M830" s="5">
        <v>30</v>
      </c>
      <c r="N830">
        <f>L830*M830</f>
        <v>90</v>
      </c>
      <c r="O830" s="15">
        <f>N830*$R$3</f>
        <v>1.3499999999999999</v>
      </c>
    </row>
    <row r="831" spans="1:15">
      <c r="A831" s="2">
        <v>830</v>
      </c>
      <c r="B831" s="4">
        <f>YEAR(F831)</f>
        <v>2023</v>
      </c>
      <c r="C831" s="4">
        <f>MONTH(F831)</f>
        <v>6</v>
      </c>
      <c r="D831" s="4">
        <f>DAY(F831)</f>
        <v>22</v>
      </c>
      <c r="E831" s="4" t="str">
        <f t="shared" si="12"/>
        <v>Thursday</v>
      </c>
      <c r="F831" s="3">
        <v>45099</v>
      </c>
      <c r="G831" s="4" t="s">
        <v>862</v>
      </c>
      <c r="H831" s="4" t="s">
        <v>7</v>
      </c>
      <c r="I831" s="4">
        <v>64</v>
      </c>
      <c r="J831" s="4" t="str" cm="1">
        <f t="array" ref="J831">_xlfn.IFS(I831&lt;30,"Young Adult", I831&lt;50,"Adult",I831 &gt;=50,"Seniors")</f>
        <v>Seniors</v>
      </c>
      <c r="K831" s="4" t="s">
        <v>3</v>
      </c>
      <c r="L831" s="4">
        <v>3</v>
      </c>
      <c r="M831" s="5">
        <v>50</v>
      </c>
      <c r="N831">
        <f>L831*M831</f>
        <v>150</v>
      </c>
      <c r="O831" s="15">
        <f>N831*$R$3</f>
        <v>2.25</v>
      </c>
    </row>
    <row r="832" spans="1:15">
      <c r="A832" s="2">
        <v>831</v>
      </c>
      <c r="B832" s="4">
        <f>YEAR(F832)</f>
        <v>2023</v>
      </c>
      <c r="C832" s="4">
        <f>MONTH(F832)</f>
        <v>1</v>
      </c>
      <c r="D832" s="4">
        <f>DAY(F832)</f>
        <v>15</v>
      </c>
      <c r="E832" s="4" t="str">
        <f t="shared" si="12"/>
        <v>Sunday</v>
      </c>
      <c r="F832" s="3">
        <v>44941</v>
      </c>
      <c r="G832" s="4" t="s">
        <v>863</v>
      </c>
      <c r="H832" s="4" t="s">
        <v>8</v>
      </c>
      <c r="I832" s="4">
        <v>27</v>
      </c>
      <c r="J832" s="4" t="str" cm="1">
        <f t="array" ref="J832">_xlfn.IFS(I832&lt;30,"Young Adult", I832&lt;50,"Adult",I832 &gt;=50,"Seniors")</f>
        <v>Young Adult</v>
      </c>
      <c r="K832" s="4" t="s">
        <v>4</v>
      </c>
      <c r="L832" s="4">
        <v>4</v>
      </c>
      <c r="M832" s="5">
        <v>25</v>
      </c>
      <c r="N832">
        <f>L832*M832</f>
        <v>100</v>
      </c>
      <c r="O832" s="15">
        <f>N832*$R$3</f>
        <v>1.5</v>
      </c>
    </row>
    <row r="833" spans="1:15">
      <c r="A833" s="2">
        <v>832</v>
      </c>
      <c r="B833" s="4">
        <f>YEAR(F833)</f>
        <v>2023</v>
      </c>
      <c r="C833" s="4">
        <f>MONTH(F833)</f>
        <v>9</v>
      </c>
      <c r="D833" s="4">
        <f>DAY(F833)</f>
        <v>11</v>
      </c>
      <c r="E833" s="4" t="str">
        <f t="shared" si="12"/>
        <v>Monday</v>
      </c>
      <c r="F833" s="3">
        <v>45180</v>
      </c>
      <c r="G833" s="4" t="s">
        <v>864</v>
      </c>
      <c r="H833" s="4" t="s">
        <v>8</v>
      </c>
      <c r="I833" s="4">
        <v>47</v>
      </c>
      <c r="J833" s="4" t="str" cm="1">
        <f t="array" ref="J833">_xlfn.IFS(I833&lt;30,"Young Adult", I833&lt;50,"Adult",I833 &gt;=50,"Seniors")</f>
        <v>Adult</v>
      </c>
      <c r="K833" s="4" t="s">
        <v>2</v>
      </c>
      <c r="L833" s="4">
        <v>4</v>
      </c>
      <c r="M833" s="5">
        <v>500</v>
      </c>
      <c r="N833">
        <f>L833*M833</f>
        <v>2000</v>
      </c>
      <c r="O833" s="15">
        <f>N833*$R$3</f>
        <v>30</v>
      </c>
    </row>
    <row r="834" spans="1:15">
      <c r="A834" s="2">
        <v>833</v>
      </c>
      <c r="B834" s="4">
        <f>YEAR(F834)</f>
        <v>2023</v>
      </c>
      <c r="C834" s="4">
        <f>MONTH(F834)</f>
        <v>6</v>
      </c>
      <c r="D834" s="4">
        <f>DAY(F834)</f>
        <v>16</v>
      </c>
      <c r="E834" s="4" t="str">
        <f t="shared" si="12"/>
        <v>Friday</v>
      </c>
      <c r="F834" s="3">
        <v>45093</v>
      </c>
      <c r="G834" s="4" t="s">
        <v>865</v>
      </c>
      <c r="H834" s="4" t="s">
        <v>8</v>
      </c>
      <c r="I834" s="4">
        <v>42</v>
      </c>
      <c r="J834" s="4" t="str" cm="1">
        <f t="array" ref="J834">_xlfn.IFS(I834&lt;30,"Young Adult", I834&lt;50,"Adult",I834 &gt;=50,"Seniors")</f>
        <v>Adult</v>
      </c>
      <c r="K834" s="4" t="s">
        <v>2</v>
      </c>
      <c r="L834" s="4">
        <v>4</v>
      </c>
      <c r="M834" s="5">
        <v>50</v>
      </c>
      <c r="N834">
        <f>L834*M834</f>
        <v>200</v>
      </c>
      <c r="O834" s="15">
        <f>N834*$R$3</f>
        <v>3</v>
      </c>
    </row>
    <row r="835" spans="1:15">
      <c r="A835" s="2">
        <v>834</v>
      </c>
      <c r="B835" s="4">
        <f>YEAR(F835)</f>
        <v>2023</v>
      </c>
      <c r="C835" s="4">
        <f>MONTH(F835)</f>
        <v>4</v>
      </c>
      <c r="D835" s="4">
        <f>DAY(F835)</f>
        <v>4</v>
      </c>
      <c r="E835" s="4" t="str">
        <f t="shared" ref="E835:E898" si="13">TEXT(F835,"dddd")</f>
        <v>Tuesday</v>
      </c>
      <c r="F835" s="3">
        <v>45020</v>
      </c>
      <c r="G835" s="4" t="s">
        <v>866</v>
      </c>
      <c r="H835" s="4" t="s">
        <v>7</v>
      </c>
      <c r="I835" s="4">
        <v>56</v>
      </c>
      <c r="J835" s="4" t="str" cm="1">
        <f t="array" ref="J835">_xlfn.IFS(I835&lt;30,"Young Adult", I835&lt;50,"Adult",I835 &gt;=50,"Seniors")</f>
        <v>Seniors</v>
      </c>
      <c r="K835" s="4" t="s">
        <v>2</v>
      </c>
      <c r="L835" s="4">
        <v>2</v>
      </c>
      <c r="M835" s="5">
        <v>30</v>
      </c>
      <c r="N835">
        <f>L835*M835</f>
        <v>60</v>
      </c>
      <c r="O835" s="15">
        <f>N835*$R$3</f>
        <v>0.89999999999999991</v>
      </c>
    </row>
    <row r="836" spans="1:15">
      <c r="A836" s="2">
        <v>835</v>
      </c>
      <c r="B836" s="4">
        <f>YEAR(F836)</f>
        <v>2023</v>
      </c>
      <c r="C836" s="4">
        <f>MONTH(F836)</f>
        <v>9</v>
      </c>
      <c r="D836" s="4">
        <f>DAY(F836)</f>
        <v>7</v>
      </c>
      <c r="E836" s="4" t="str">
        <f t="shared" si="13"/>
        <v>Thursday</v>
      </c>
      <c r="F836" s="3">
        <v>45176</v>
      </c>
      <c r="G836" s="4" t="s">
        <v>867</v>
      </c>
      <c r="H836" s="4" t="s">
        <v>8</v>
      </c>
      <c r="I836" s="4">
        <v>37</v>
      </c>
      <c r="J836" s="4" t="str" cm="1">
        <f t="array" ref="J836">_xlfn.IFS(I836&lt;30,"Young Adult", I836&lt;50,"Adult",I836 &gt;=50,"Seniors")</f>
        <v>Adult</v>
      </c>
      <c r="K836" s="4" t="s">
        <v>3</v>
      </c>
      <c r="L836" s="4">
        <v>4</v>
      </c>
      <c r="M836" s="5">
        <v>50</v>
      </c>
      <c r="N836">
        <f>L836*M836</f>
        <v>200</v>
      </c>
      <c r="O836" s="15">
        <f>N836*$R$3</f>
        <v>3</v>
      </c>
    </row>
    <row r="837" spans="1:15">
      <c r="A837" s="2">
        <v>836</v>
      </c>
      <c r="B837" s="4">
        <f>YEAR(F837)</f>
        <v>2023</v>
      </c>
      <c r="C837" s="4">
        <f>MONTH(F837)</f>
        <v>4</v>
      </c>
      <c r="D837" s="4">
        <f>DAY(F837)</f>
        <v>19</v>
      </c>
      <c r="E837" s="4" t="str">
        <f t="shared" si="13"/>
        <v>Wednesday</v>
      </c>
      <c r="F837" s="3">
        <v>45035</v>
      </c>
      <c r="G837" s="4" t="s">
        <v>868</v>
      </c>
      <c r="H837" s="4" t="s">
        <v>7</v>
      </c>
      <c r="I837" s="4">
        <v>22</v>
      </c>
      <c r="J837" s="4" t="str" cm="1">
        <f t="array" ref="J837">_xlfn.IFS(I837&lt;30,"Young Adult", I837&lt;50,"Adult",I837 &gt;=50,"Seniors")</f>
        <v>Young Adult</v>
      </c>
      <c r="K837" s="4" t="s">
        <v>3</v>
      </c>
      <c r="L837" s="4">
        <v>1</v>
      </c>
      <c r="M837" s="5">
        <v>50</v>
      </c>
      <c r="N837">
        <f>L837*M837</f>
        <v>50</v>
      </c>
      <c r="O837" s="15">
        <f>N837*$R$3</f>
        <v>0.75</v>
      </c>
    </row>
    <row r="838" spans="1:15">
      <c r="A838" s="2">
        <v>837</v>
      </c>
      <c r="B838" s="4">
        <f>YEAR(F838)</f>
        <v>2023</v>
      </c>
      <c r="C838" s="4">
        <f>MONTH(F838)</f>
        <v>7</v>
      </c>
      <c r="D838" s="4">
        <f>DAY(F838)</f>
        <v>1</v>
      </c>
      <c r="E838" s="4" t="str">
        <f t="shared" si="13"/>
        <v>Saturday</v>
      </c>
      <c r="F838" s="3">
        <v>45108</v>
      </c>
      <c r="G838" s="4" t="s">
        <v>869</v>
      </c>
      <c r="H838" s="4" t="s">
        <v>8</v>
      </c>
      <c r="I838" s="4">
        <v>18</v>
      </c>
      <c r="J838" s="4" t="str" cm="1">
        <f t="array" ref="J838">_xlfn.IFS(I838&lt;30,"Young Adult", I838&lt;50,"Adult",I838 &gt;=50,"Seniors")</f>
        <v>Young Adult</v>
      </c>
      <c r="K838" s="4" t="s">
        <v>2</v>
      </c>
      <c r="L838" s="4">
        <v>3</v>
      </c>
      <c r="M838" s="5">
        <v>30</v>
      </c>
      <c r="N838">
        <f>L838*M838</f>
        <v>90</v>
      </c>
      <c r="O838" s="15">
        <f>N838*$R$3</f>
        <v>1.3499999999999999</v>
      </c>
    </row>
    <row r="839" spans="1:15">
      <c r="A839" s="2">
        <v>838</v>
      </c>
      <c r="B839" s="4">
        <f>YEAR(F839)</f>
        <v>2023</v>
      </c>
      <c r="C839" s="4">
        <f>MONTH(F839)</f>
        <v>5</v>
      </c>
      <c r="D839" s="4">
        <f>DAY(F839)</f>
        <v>13</v>
      </c>
      <c r="E839" s="4" t="str">
        <f t="shared" si="13"/>
        <v>Saturday</v>
      </c>
      <c r="F839" s="3">
        <v>45059</v>
      </c>
      <c r="G839" s="4" t="s">
        <v>870</v>
      </c>
      <c r="H839" s="4" t="s">
        <v>8</v>
      </c>
      <c r="I839" s="4">
        <v>47</v>
      </c>
      <c r="J839" s="4" t="str" cm="1">
        <f t="array" ref="J839">_xlfn.IFS(I839&lt;30,"Young Adult", I839&lt;50,"Adult",I839 &gt;=50,"Seniors")</f>
        <v>Adult</v>
      </c>
      <c r="K839" s="4" t="s">
        <v>4</v>
      </c>
      <c r="L839" s="4">
        <v>2</v>
      </c>
      <c r="M839" s="5">
        <v>300</v>
      </c>
      <c r="N839">
        <f>L839*M839</f>
        <v>600</v>
      </c>
      <c r="O839" s="15">
        <f>N839*$R$3</f>
        <v>9</v>
      </c>
    </row>
    <row r="840" spans="1:15">
      <c r="A840" s="2">
        <v>839</v>
      </c>
      <c r="B840" s="4">
        <f>YEAR(F840)</f>
        <v>2023</v>
      </c>
      <c r="C840" s="4">
        <f>MONTH(F840)</f>
        <v>6</v>
      </c>
      <c r="D840" s="4">
        <f>DAY(F840)</f>
        <v>24</v>
      </c>
      <c r="E840" s="4" t="str">
        <f t="shared" si="13"/>
        <v>Saturday</v>
      </c>
      <c r="F840" s="3">
        <v>45101</v>
      </c>
      <c r="G840" s="4" t="s">
        <v>871</v>
      </c>
      <c r="H840" s="4" t="s">
        <v>7</v>
      </c>
      <c r="I840" s="4">
        <v>20</v>
      </c>
      <c r="J840" s="4" t="str" cm="1">
        <f t="array" ref="J840">_xlfn.IFS(I840&lt;30,"Young Adult", I840&lt;50,"Adult",I840 &gt;=50,"Seniors")</f>
        <v>Young Adult</v>
      </c>
      <c r="K840" s="4" t="s">
        <v>4</v>
      </c>
      <c r="L840" s="4">
        <v>4</v>
      </c>
      <c r="M840" s="5">
        <v>300</v>
      </c>
      <c r="N840">
        <f>L840*M840</f>
        <v>1200</v>
      </c>
      <c r="O840" s="15">
        <f>N840*$R$3</f>
        <v>18</v>
      </c>
    </row>
    <row r="841" spans="1:15">
      <c r="A841" s="2">
        <v>840</v>
      </c>
      <c r="B841" s="4">
        <f>YEAR(F841)</f>
        <v>2023</v>
      </c>
      <c r="C841" s="4">
        <f>MONTH(F841)</f>
        <v>5</v>
      </c>
      <c r="D841" s="4">
        <f>DAY(F841)</f>
        <v>24</v>
      </c>
      <c r="E841" s="4" t="str">
        <f t="shared" si="13"/>
        <v>Wednesday</v>
      </c>
      <c r="F841" s="3">
        <v>45070</v>
      </c>
      <c r="G841" s="4" t="s">
        <v>872</v>
      </c>
      <c r="H841" s="4" t="s">
        <v>8</v>
      </c>
      <c r="I841" s="4">
        <v>62</v>
      </c>
      <c r="J841" s="4" t="str" cm="1">
        <f t="array" ref="J841">_xlfn.IFS(I841&lt;30,"Young Adult", I841&lt;50,"Adult",I841 &gt;=50,"Seniors")</f>
        <v>Seniors</v>
      </c>
      <c r="K841" s="4" t="s">
        <v>3</v>
      </c>
      <c r="L841" s="4">
        <v>2</v>
      </c>
      <c r="M841" s="5">
        <v>25</v>
      </c>
      <c r="N841">
        <f>L841*M841</f>
        <v>50</v>
      </c>
      <c r="O841" s="15">
        <f>N841*$R$3</f>
        <v>0.75</v>
      </c>
    </row>
    <row r="842" spans="1:15">
      <c r="A842" s="2">
        <v>841</v>
      </c>
      <c r="B842" s="4">
        <f>YEAR(F842)</f>
        <v>2023</v>
      </c>
      <c r="C842" s="4">
        <f>MONTH(F842)</f>
        <v>11</v>
      </c>
      <c r="D842" s="4">
        <f>DAY(F842)</f>
        <v>2</v>
      </c>
      <c r="E842" s="4" t="str">
        <f t="shared" si="13"/>
        <v>Thursday</v>
      </c>
      <c r="F842" s="3">
        <v>45232</v>
      </c>
      <c r="G842" s="4" t="s">
        <v>873</v>
      </c>
      <c r="H842" s="4" t="s">
        <v>8</v>
      </c>
      <c r="I842" s="4">
        <v>31</v>
      </c>
      <c r="J842" s="4" t="str" cm="1">
        <f t="array" ref="J842">_xlfn.IFS(I842&lt;30,"Young Adult", I842&lt;50,"Adult",I842 &gt;=50,"Seniors")</f>
        <v>Adult</v>
      </c>
      <c r="K842" s="4" t="s">
        <v>4</v>
      </c>
      <c r="L842" s="4">
        <v>4</v>
      </c>
      <c r="M842" s="5">
        <v>25</v>
      </c>
      <c r="N842">
        <f>L842*M842</f>
        <v>100</v>
      </c>
      <c r="O842" s="15">
        <f>N842*$R$3</f>
        <v>1.5</v>
      </c>
    </row>
    <row r="843" spans="1:15">
      <c r="A843" s="2">
        <v>842</v>
      </c>
      <c r="B843" s="4">
        <f>YEAR(F843)</f>
        <v>2023</v>
      </c>
      <c r="C843" s="4">
        <f>MONTH(F843)</f>
        <v>12</v>
      </c>
      <c r="D843" s="4">
        <f>DAY(F843)</f>
        <v>26</v>
      </c>
      <c r="E843" s="4" t="str">
        <f t="shared" si="13"/>
        <v>Tuesday</v>
      </c>
      <c r="F843" s="3">
        <v>45286</v>
      </c>
      <c r="G843" s="4" t="s">
        <v>874</v>
      </c>
      <c r="H843" s="4" t="s">
        <v>7</v>
      </c>
      <c r="I843" s="4">
        <v>47</v>
      </c>
      <c r="J843" s="4" t="str" cm="1">
        <f t="array" ref="J843">_xlfn.IFS(I843&lt;30,"Young Adult", I843&lt;50,"Adult",I843 &gt;=50,"Seniors")</f>
        <v>Adult</v>
      </c>
      <c r="K843" s="4" t="s">
        <v>3</v>
      </c>
      <c r="L843" s="4">
        <v>2</v>
      </c>
      <c r="M843" s="5">
        <v>300</v>
      </c>
      <c r="N843">
        <f>L843*M843</f>
        <v>600</v>
      </c>
      <c r="O843" s="15">
        <f>N843*$R$3</f>
        <v>9</v>
      </c>
    </row>
    <row r="844" spans="1:15">
      <c r="A844" s="2">
        <v>843</v>
      </c>
      <c r="B844" s="4">
        <f>YEAR(F844)</f>
        <v>2023</v>
      </c>
      <c r="C844" s="4">
        <f>MONTH(F844)</f>
        <v>5</v>
      </c>
      <c r="D844" s="4">
        <f>DAY(F844)</f>
        <v>22</v>
      </c>
      <c r="E844" s="4" t="str">
        <f t="shared" si="13"/>
        <v>Monday</v>
      </c>
      <c r="F844" s="3">
        <v>45068</v>
      </c>
      <c r="G844" s="4" t="s">
        <v>875</v>
      </c>
      <c r="H844" s="4" t="s">
        <v>8</v>
      </c>
      <c r="I844" s="4">
        <v>21</v>
      </c>
      <c r="J844" s="4" t="str" cm="1">
        <f t="array" ref="J844">_xlfn.IFS(I844&lt;30,"Young Adult", I844&lt;50,"Adult",I844 &gt;=50,"Seniors")</f>
        <v>Young Adult</v>
      </c>
      <c r="K844" s="4" t="s">
        <v>2</v>
      </c>
      <c r="L844" s="4">
        <v>3</v>
      </c>
      <c r="M844" s="5">
        <v>500</v>
      </c>
      <c r="N844">
        <f>L844*M844</f>
        <v>1500</v>
      </c>
      <c r="O844" s="15">
        <f>N844*$R$3</f>
        <v>22.5</v>
      </c>
    </row>
    <row r="845" spans="1:15">
      <c r="A845" s="2">
        <v>844</v>
      </c>
      <c r="B845" s="4">
        <f>YEAR(F845)</f>
        <v>2023</v>
      </c>
      <c r="C845" s="4">
        <f>MONTH(F845)</f>
        <v>10</v>
      </c>
      <c r="D845" s="4">
        <f>DAY(F845)</f>
        <v>12</v>
      </c>
      <c r="E845" s="4" t="str">
        <f t="shared" si="13"/>
        <v>Thursday</v>
      </c>
      <c r="F845" s="3">
        <v>45211</v>
      </c>
      <c r="G845" s="4" t="s">
        <v>876</v>
      </c>
      <c r="H845" s="4" t="s">
        <v>8</v>
      </c>
      <c r="I845" s="4">
        <v>35</v>
      </c>
      <c r="J845" s="4" t="str" cm="1">
        <f t="array" ref="J845">_xlfn.IFS(I845&lt;30,"Young Adult", I845&lt;50,"Adult",I845 &gt;=50,"Seniors")</f>
        <v>Adult</v>
      </c>
      <c r="K845" s="4" t="s">
        <v>3</v>
      </c>
      <c r="L845" s="4">
        <v>3</v>
      </c>
      <c r="M845" s="5">
        <v>50</v>
      </c>
      <c r="N845">
        <f>L845*M845</f>
        <v>150</v>
      </c>
      <c r="O845" s="15">
        <f>N845*$R$3</f>
        <v>2.25</v>
      </c>
    </row>
    <row r="846" spans="1:15">
      <c r="A846" s="2">
        <v>845</v>
      </c>
      <c r="B846" s="4">
        <f>YEAR(F846)</f>
        <v>2023</v>
      </c>
      <c r="C846" s="4">
        <f>MONTH(F846)</f>
        <v>1</v>
      </c>
      <c r="D846" s="4">
        <f>DAY(F846)</f>
        <v>6</v>
      </c>
      <c r="E846" s="4" t="str">
        <f t="shared" si="13"/>
        <v>Friday</v>
      </c>
      <c r="F846" s="3">
        <v>44932</v>
      </c>
      <c r="G846" s="4" t="s">
        <v>877</v>
      </c>
      <c r="H846" s="4" t="s">
        <v>8</v>
      </c>
      <c r="I846" s="4">
        <v>54</v>
      </c>
      <c r="J846" s="4" t="str" cm="1">
        <f t="array" ref="J846">_xlfn.IFS(I846&lt;30,"Young Adult", I846&lt;50,"Adult",I846 &gt;=50,"Seniors")</f>
        <v>Seniors</v>
      </c>
      <c r="K846" s="4" t="s">
        <v>3</v>
      </c>
      <c r="L846" s="4">
        <v>1</v>
      </c>
      <c r="M846" s="5">
        <v>500</v>
      </c>
      <c r="N846">
        <f>L846*M846</f>
        <v>500</v>
      </c>
      <c r="O846" s="15">
        <f>N846*$R$3</f>
        <v>7.5</v>
      </c>
    </row>
    <row r="847" spans="1:15">
      <c r="A847" s="2">
        <v>846</v>
      </c>
      <c r="B847" s="4">
        <f>YEAR(F847)</f>
        <v>2023</v>
      </c>
      <c r="C847" s="4">
        <f>MONTH(F847)</f>
        <v>9</v>
      </c>
      <c r="D847" s="4">
        <f>DAY(F847)</f>
        <v>22</v>
      </c>
      <c r="E847" s="4" t="str">
        <f t="shared" si="13"/>
        <v>Friday</v>
      </c>
      <c r="F847" s="3">
        <v>45191</v>
      </c>
      <c r="G847" s="4" t="s">
        <v>878</v>
      </c>
      <c r="H847" s="4" t="s">
        <v>8</v>
      </c>
      <c r="I847" s="4">
        <v>42</v>
      </c>
      <c r="J847" s="4" t="str" cm="1">
        <f t="array" ref="J847">_xlfn.IFS(I847&lt;30,"Young Adult", I847&lt;50,"Adult",I847 &gt;=50,"Seniors")</f>
        <v>Adult</v>
      </c>
      <c r="K847" s="4" t="s">
        <v>2</v>
      </c>
      <c r="L847" s="4">
        <v>1</v>
      </c>
      <c r="M847" s="5">
        <v>50</v>
      </c>
      <c r="N847">
        <f>L847*M847</f>
        <v>50</v>
      </c>
      <c r="O847" s="15">
        <f>N847*$R$3</f>
        <v>0.75</v>
      </c>
    </row>
    <row r="848" spans="1:15">
      <c r="A848" s="2">
        <v>847</v>
      </c>
      <c r="B848" s="4">
        <f>YEAR(F848)</f>
        <v>2023</v>
      </c>
      <c r="C848" s="4">
        <f>MONTH(F848)</f>
        <v>4</v>
      </c>
      <c r="D848" s="4">
        <f>DAY(F848)</f>
        <v>8</v>
      </c>
      <c r="E848" s="4" t="str">
        <f t="shared" si="13"/>
        <v>Saturday</v>
      </c>
      <c r="F848" s="3">
        <v>45024</v>
      </c>
      <c r="G848" s="4" t="s">
        <v>879</v>
      </c>
      <c r="H848" s="4" t="s">
        <v>7</v>
      </c>
      <c r="I848" s="4">
        <v>18</v>
      </c>
      <c r="J848" s="4" t="str" cm="1">
        <f t="array" ref="J848">_xlfn.IFS(I848&lt;30,"Young Adult", I848&lt;50,"Adult",I848 &gt;=50,"Seniors")</f>
        <v>Young Adult</v>
      </c>
      <c r="K848" s="4" t="s">
        <v>4</v>
      </c>
      <c r="L848" s="4">
        <v>4</v>
      </c>
      <c r="M848" s="5">
        <v>300</v>
      </c>
      <c r="N848">
        <f>L848*M848</f>
        <v>1200</v>
      </c>
      <c r="O848" s="15">
        <f>N848*$R$3</f>
        <v>18</v>
      </c>
    </row>
    <row r="849" spans="1:15">
      <c r="A849" s="2">
        <v>848</v>
      </c>
      <c r="B849" s="4">
        <f>YEAR(F849)</f>
        <v>2023</v>
      </c>
      <c r="C849" s="4">
        <f>MONTH(F849)</f>
        <v>2</v>
      </c>
      <c r="D849" s="4">
        <f>DAY(F849)</f>
        <v>13</v>
      </c>
      <c r="E849" s="4" t="str">
        <f t="shared" si="13"/>
        <v>Monday</v>
      </c>
      <c r="F849" s="3">
        <v>44970</v>
      </c>
      <c r="G849" s="4" t="s">
        <v>880</v>
      </c>
      <c r="H849" s="4" t="s">
        <v>7</v>
      </c>
      <c r="I849" s="4">
        <v>63</v>
      </c>
      <c r="J849" s="4" t="str" cm="1">
        <f t="array" ref="J849">_xlfn.IFS(I849&lt;30,"Young Adult", I849&lt;50,"Adult",I849 &gt;=50,"Seniors")</f>
        <v>Seniors</v>
      </c>
      <c r="K849" s="4" t="s">
        <v>3</v>
      </c>
      <c r="L849" s="4">
        <v>3</v>
      </c>
      <c r="M849" s="5">
        <v>25</v>
      </c>
      <c r="N849">
        <f>L849*M849</f>
        <v>75</v>
      </c>
      <c r="O849" s="15">
        <f>N849*$R$3</f>
        <v>1.125</v>
      </c>
    </row>
    <row r="850" spans="1:15">
      <c r="A850" s="2">
        <v>849</v>
      </c>
      <c r="B850" s="4">
        <f>YEAR(F850)</f>
        <v>2023</v>
      </c>
      <c r="C850" s="4">
        <f>MONTH(F850)</f>
        <v>5</v>
      </c>
      <c r="D850" s="4">
        <f>DAY(F850)</f>
        <v>4</v>
      </c>
      <c r="E850" s="4" t="str">
        <f t="shared" si="13"/>
        <v>Thursday</v>
      </c>
      <c r="F850" s="3">
        <v>45050</v>
      </c>
      <c r="G850" s="4" t="s">
        <v>881</v>
      </c>
      <c r="H850" s="4" t="s">
        <v>8</v>
      </c>
      <c r="I850" s="4">
        <v>32</v>
      </c>
      <c r="J850" s="4" t="str" cm="1">
        <f t="array" ref="J850">_xlfn.IFS(I850&lt;30,"Young Adult", I850&lt;50,"Adult",I850 &gt;=50,"Seniors")</f>
        <v>Adult</v>
      </c>
      <c r="K850" s="4" t="s">
        <v>3</v>
      </c>
      <c r="L850" s="4">
        <v>2</v>
      </c>
      <c r="M850" s="5">
        <v>25</v>
      </c>
      <c r="N850">
        <f>L850*M850</f>
        <v>50</v>
      </c>
      <c r="O850" s="15">
        <f>N850*$R$3</f>
        <v>0.75</v>
      </c>
    </row>
    <row r="851" spans="1:15">
      <c r="A851" s="2">
        <v>850</v>
      </c>
      <c r="B851" s="4">
        <f>YEAR(F851)</f>
        <v>2023</v>
      </c>
      <c r="C851" s="4">
        <f>MONTH(F851)</f>
        <v>7</v>
      </c>
      <c r="D851" s="4">
        <f>DAY(F851)</f>
        <v>28</v>
      </c>
      <c r="E851" s="4" t="str">
        <f t="shared" si="13"/>
        <v>Friday</v>
      </c>
      <c r="F851" s="3">
        <v>45135</v>
      </c>
      <c r="G851" s="4" t="s">
        <v>882</v>
      </c>
      <c r="H851" s="4" t="s">
        <v>7</v>
      </c>
      <c r="I851" s="4">
        <v>26</v>
      </c>
      <c r="J851" s="4" t="str" cm="1">
        <f t="array" ref="J851">_xlfn.IFS(I851&lt;30,"Young Adult", I851&lt;50,"Adult",I851 &gt;=50,"Seniors")</f>
        <v>Young Adult</v>
      </c>
      <c r="K851" s="4" t="s">
        <v>2</v>
      </c>
      <c r="L851" s="4">
        <v>2</v>
      </c>
      <c r="M851" s="5">
        <v>500</v>
      </c>
      <c r="N851">
        <f>L851*M851</f>
        <v>1000</v>
      </c>
      <c r="O851" s="15">
        <f>N851*$R$3</f>
        <v>15</v>
      </c>
    </row>
    <row r="852" spans="1:15">
      <c r="A852" s="2">
        <v>851</v>
      </c>
      <c r="B852" s="4">
        <f>YEAR(F852)</f>
        <v>2023</v>
      </c>
      <c r="C852" s="4">
        <f>MONTH(F852)</f>
        <v>9</v>
      </c>
      <c r="D852" s="4">
        <f>DAY(F852)</f>
        <v>8</v>
      </c>
      <c r="E852" s="4" t="str">
        <f t="shared" si="13"/>
        <v>Friday</v>
      </c>
      <c r="F852" s="3">
        <v>45177</v>
      </c>
      <c r="G852" s="4" t="s">
        <v>883</v>
      </c>
      <c r="H852" s="4" t="s">
        <v>8</v>
      </c>
      <c r="I852" s="4">
        <v>32</v>
      </c>
      <c r="J852" s="4" t="str" cm="1">
        <f t="array" ref="J852">_xlfn.IFS(I852&lt;30,"Young Adult", I852&lt;50,"Adult",I852 &gt;=50,"Seniors")</f>
        <v>Adult</v>
      </c>
      <c r="K852" s="4" t="s">
        <v>4</v>
      </c>
      <c r="L852" s="4">
        <v>2</v>
      </c>
      <c r="M852" s="5">
        <v>25</v>
      </c>
      <c r="N852">
        <f>L852*M852</f>
        <v>50</v>
      </c>
      <c r="O852" s="15">
        <f>N852*$R$3</f>
        <v>0.75</v>
      </c>
    </row>
    <row r="853" spans="1:15">
      <c r="A853" s="2">
        <v>852</v>
      </c>
      <c r="B853" s="4">
        <f>YEAR(F853)</f>
        <v>2023</v>
      </c>
      <c r="C853" s="4">
        <f>MONTH(F853)</f>
        <v>10</v>
      </c>
      <c r="D853" s="4">
        <f>DAY(F853)</f>
        <v>12</v>
      </c>
      <c r="E853" s="4" t="str">
        <f t="shared" si="13"/>
        <v>Thursday</v>
      </c>
      <c r="F853" s="3">
        <v>45211</v>
      </c>
      <c r="G853" s="4" t="s">
        <v>884</v>
      </c>
      <c r="H853" s="4" t="s">
        <v>7</v>
      </c>
      <c r="I853" s="4">
        <v>41</v>
      </c>
      <c r="J853" s="4" t="str" cm="1">
        <f t="array" ref="J853">_xlfn.IFS(I853&lt;30,"Young Adult", I853&lt;50,"Adult",I853 &gt;=50,"Seniors")</f>
        <v>Adult</v>
      </c>
      <c r="K853" s="4" t="s">
        <v>3</v>
      </c>
      <c r="L853" s="4">
        <v>1</v>
      </c>
      <c r="M853" s="5">
        <v>300</v>
      </c>
      <c r="N853">
        <f>L853*M853</f>
        <v>300</v>
      </c>
      <c r="O853" s="15">
        <f>N853*$R$3</f>
        <v>4.5</v>
      </c>
    </row>
    <row r="854" spans="1:15">
      <c r="A854" s="2">
        <v>853</v>
      </c>
      <c r="B854" s="4">
        <f>YEAR(F854)</f>
        <v>2023</v>
      </c>
      <c r="C854" s="4">
        <f>MONTH(F854)</f>
        <v>5</v>
      </c>
      <c r="D854" s="4">
        <f>DAY(F854)</f>
        <v>4</v>
      </c>
      <c r="E854" s="4" t="str">
        <f t="shared" si="13"/>
        <v>Thursday</v>
      </c>
      <c r="F854" s="3">
        <v>45050</v>
      </c>
      <c r="G854" s="4" t="s">
        <v>885</v>
      </c>
      <c r="H854" s="4" t="s">
        <v>8</v>
      </c>
      <c r="I854" s="4">
        <v>21</v>
      </c>
      <c r="J854" s="4" t="str" cm="1">
        <f t="array" ref="J854">_xlfn.IFS(I854&lt;30,"Young Adult", I854&lt;50,"Adult",I854 &gt;=50,"Seniors")</f>
        <v>Young Adult</v>
      </c>
      <c r="K854" s="4" t="s">
        <v>2</v>
      </c>
      <c r="L854" s="4">
        <v>2</v>
      </c>
      <c r="M854" s="5">
        <v>500</v>
      </c>
      <c r="N854">
        <f>L854*M854</f>
        <v>1000</v>
      </c>
      <c r="O854" s="15">
        <f>N854*$R$3</f>
        <v>15</v>
      </c>
    </row>
    <row r="855" spans="1:15">
      <c r="A855" s="2">
        <v>854</v>
      </c>
      <c r="B855" s="4">
        <f>YEAR(F855)</f>
        <v>2023</v>
      </c>
      <c r="C855" s="4">
        <f>MONTH(F855)</f>
        <v>12</v>
      </c>
      <c r="D855" s="4">
        <f>DAY(F855)</f>
        <v>20</v>
      </c>
      <c r="E855" s="4" t="str">
        <f t="shared" si="13"/>
        <v>Wednesday</v>
      </c>
      <c r="F855" s="3">
        <v>45280</v>
      </c>
      <c r="G855" s="4" t="s">
        <v>886</v>
      </c>
      <c r="H855" s="4" t="s">
        <v>8</v>
      </c>
      <c r="I855" s="4">
        <v>29</v>
      </c>
      <c r="J855" s="4" t="str" cm="1">
        <f t="array" ref="J855">_xlfn.IFS(I855&lt;30,"Young Adult", I855&lt;50,"Adult",I855 &gt;=50,"Seniors")</f>
        <v>Young Adult</v>
      </c>
      <c r="K855" s="4" t="s">
        <v>3</v>
      </c>
      <c r="L855" s="4">
        <v>1</v>
      </c>
      <c r="M855" s="5">
        <v>50</v>
      </c>
      <c r="N855">
        <f>L855*M855</f>
        <v>50</v>
      </c>
      <c r="O855" s="15">
        <f>N855*$R$3</f>
        <v>0.75</v>
      </c>
    </row>
    <row r="856" spans="1:15">
      <c r="A856" s="2">
        <v>855</v>
      </c>
      <c r="B856" s="4">
        <f>YEAR(F856)</f>
        <v>2023</v>
      </c>
      <c r="C856" s="4">
        <f>MONTH(F856)</f>
        <v>9</v>
      </c>
      <c r="D856" s="4">
        <f>DAY(F856)</f>
        <v>1</v>
      </c>
      <c r="E856" s="4" t="str">
        <f t="shared" si="13"/>
        <v>Friday</v>
      </c>
      <c r="F856" s="3">
        <v>45170</v>
      </c>
      <c r="G856" s="4" t="s">
        <v>887</v>
      </c>
      <c r="H856" s="4" t="s">
        <v>8</v>
      </c>
      <c r="I856" s="4">
        <v>54</v>
      </c>
      <c r="J856" s="4" t="str" cm="1">
        <f t="array" ref="J856">_xlfn.IFS(I856&lt;30,"Young Adult", I856&lt;50,"Adult",I856 &gt;=50,"Seniors")</f>
        <v>Seniors</v>
      </c>
      <c r="K856" s="4" t="s">
        <v>2</v>
      </c>
      <c r="L856" s="4">
        <v>1</v>
      </c>
      <c r="M856" s="5">
        <v>25</v>
      </c>
      <c r="N856">
        <f>L856*M856</f>
        <v>25</v>
      </c>
      <c r="O856" s="15">
        <f>N856*$R$3</f>
        <v>0.375</v>
      </c>
    </row>
    <row r="857" spans="1:15">
      <c r="A857" s="2">
        <v>856</v>
      </c>
      <c r="B857" s="4">
        <f>YEAR(F857)</f>
        <v>2023</v>
      </c>
      <c r="C857" s="4">
        <f>MONTH(F857)</f>
        <v>11</v>
      </c>
      <c r="D857" s="4">
        <f>DAY(F857)</f>
        <v>27</v>
      </c>
      <c r="E857" s="4" t="str">
        <f t="shared" si="13"/>
        <v>Monday</v>
      </c>
      <c r="F857" s="3">
        <v>45257</v>
      </c>
      <c r="G857" s="4" t="s">
        <v>888</v>
      </c>
      <c r="H857" s="4" t="s">
        <v>8</v>
      </c>
      <c r="I857" s="4">
        <v>54</v>
      </c>
      <c r="J857" s="4" t="str" cm="1">
        <f t="array" ref="J857">_xlfn.IFS(I857&lt;30,"Young Adult", I857&lt;50,"Adult",I857 &gt;=50,"Seniors")</f>
        <v>Seniors</v>
      </c>
      <c r="K857" s="4" t="s">
        <v>4</v>
      </c>
      <c r="L857" s="4">
        <v>4</v>
      </c>
      <c r="M857" s="5">
        <v>30</v>
      </c>
      <c r="N857">
        <f>L857*M857</f>
        <v>120</v>
      </c>
      <c r="O857" s="15">
        <f>N857*$R$3</f>
        <v>1.7999999999999998</v>
      </c>
    </row>
    <row r="858" spans="1:15">
      <c r="A858" s="2">
        <v>857</v>
      </c>
      <c r="B858" s="4">
        <f>YEAR(F858)</f>
        <v>2023</v>
      </c>
      <c r="C858" s="4">
        <f>MONTH(F858)</f>
        <v>12</v>
      </c>
      <c r="D858" s="4">
        <f>DAY(F858)</f>
        <v>31</v>
      </c>
      <c r="E858" s="4" t="str">
        <f t="shared" si="13"/>
        <v>Sunday</v>
      </c>
      <c r="F858" s="3">
        <v>45291</v>
      </c>
      <c r="G858" s="4" t="s">
        <v>889</v>
      </c>
      <c r="H858" s="4" t="s">
        <v>8</v>
      </c>
      <c r="I858" s="4">
        <v>60</v>
      </c>
      <c r="J858" s="4" t="str" cm="1">
        <f t="array" ref="J858">_xlfn.IFS(I858&lt;30,"Young Adult", I858&lt;50,"Adult",I858 &gt;=50,"Seniors")</f>
        <v>Seniors</v>
      </c>
      <c r="K858" s="4" t="s">
        <v>4</v>
      </c>
      <c r="L858" s="4">
        <v>2</v>
      </c>
      <c r="M858" s="5">
        <v>25</v>
      </c>
      <c r="N858">
        <f>L858*M858</f>
        <v>50</v>
      </c>
      <c r="O858" s="15">
        <f>N858*$R$3</f>
        <v>0.75</v>
      </c>
    </row>
    <row r="859" spans="1:15">
      <c r="A859" s="2">
        <v>858</v>
      </c>
      <c r="B859" s="4">
        <f>YEAR(F859)</f>
        <v>2023</v>
      </c>
      <c r="C859" s="4">
        <f>MONTH(F859)</f>
        <v>9</v>
      </c>
      <c r="D859" s="4">
        <f>DAY(F859)</f>
        <v>9</v>
      </c>
      <c r="E859" s="4" t="str">
        <f t="shared" si="13"/>
        <v>Saturday</v>
      </c>
      <c r="F859" s="3">
        <v>45178</v>
      </c>
      <c r="G859" s="4" t="s">
        <v>890</v>
      </c>
      <c r="H859" s="4" t="s">
        <v>8</v>
      </c>
      <c r="I859" s="4">
        <v>23</v>
      </c>
      <c r="J859" s="4" t="str" cm="1">
        <f t="array" ref="J859">_xlfn.IFS(I859&lt;30,"Young Adult", I859&lt;50,"Adult",I859 &gt;=50,"Seniors")</f>
        <v>Young Adult</v>
      </c>
      <c r="K859" s="4" t="s">
        <v>4</v>
      </c>
      <c r="L859" s="4">
        <v>2</v>
      </c>
      <c r="M859" s="5">
        <v>50</v>
      </c>
      <c r="N859">
        <f>L859*M859</f>
        <v>100</v>
      </c>
      <c r="O859" s="15">
        <f>N859*$R$3</f>
        <v>1.5</v>
      </c>
    </row>
    <row r="860" spans="1:15">
      <c r="A860" s="2">
        <v>859</v>
      </c>
      <c r="B860" s="4">
        <f>YEAR(F860)</f>
        <v>2023</v>
      </c>
      <c r="C860" s="4">
        <f>MONTH(F860)</f>
        <v>8</v>
      </c>
      <c r="D860" s="4">
        <f>DAY(F860)</f>
        <v>18</v>
      </c>
      <c r="E860" s="4" t="str">
        <f t="shared" si="13"/>
        <v>Friday</v>
      </c>
      <c r="F860" s="3">
        <v>45156</v>
      </c>
      <c r="G860" s="4" t="s">
        <v>891</v>
      </c>
      <c r="H860" s="4" t="s">
        <v>7</v>
      </c>
      <c r="I860" s="4">
        <v>56</v>
      </c>
      <c r="J860" s="4" t="str" cm="1">
        <f t="array" ref="J860">_xlfn.IFS(I860&lt;30,"Young Adult", I860&lt;50,"Adult",I860 &gt;=50,"Seniors")</f>
        <v>Seniors</v>
      </c>
      <c r="K860" s="4" t="s">
        <v>4</v>
      </c>
      <c r="L860" s="4">
        <v>3</v>
      </c>
      <c r="M860" s="5">
        <v>500</v>
      </c>
      <c r="N860">
        <f>L860*M860</f>
        <v>1500</v>
      </c>
      <c r="O860" s="15">
        <f>N860*$R$3</f>
        <v>22.5</v>
      </c>
    </row>
    <row r="861" spans="1:15">
      <c r="A861" s="2">
        <v>860</v>
      </c>
      <c r="B861" s="4">
        <f>YEAR(F861)</f>
        <v>2023</v>
      </c>
      <c r="C861" s="4">
        <f>MONTH(F861)</f>
        <v>1</v>
      </c>
      <c r="D861" s="4">
        <f>DAY(F861)</f>
        <v>9</v>
      </c>
      <c r="E861" s="4" t="str">
        <f t="shared" si="13"/>
        <v>Monday</v>
      </c>
      <c r="F861" s="3">
        <v>44935</v>
      </c>
      <c r="G861" s="4" t="s">
        <v>892</v>
      </c>
      <c r="H861" s="4" t="s">
        <v>8</v>
      </c>
      <c r="I861" s="4">
        <v>63</v>
      </c>
      <c r="J861" s="4" t="str" cm="1">
        <f t="array" ref="J861">_xlfn.IFS(I861&lt;30,"Young Adult", I861&lt;50,"Adult",I861 &gt;=50,"Seniors")</f>
        <v>Seniors</v>
      </c>
      <c r="K861" s="4" t="s">
        <v>3</v>
      </c>
      <c r="L861" s="4">
        <v>4</v>
      </c>
      <c r="M861" s="5">
        <v>50</v>
      </c>
      <c r="N861">
        <f>L861*M861</f>
        <v>200</v>
      </c>
      <c r="O861" s="15">
        <f>N861*$R$3</f>
        <v>3</v>
      </c>
    </row>
    <row r="862" spans="1:15">
      <c r="A862" s="2">
        <v>861</v>
      </c>
      <c r="B862" s="4">
        <f>YEAR(F862)</f>
        <v>2023</v>
      </c>
      <c r="C862" s="4">
        <f>MONTH(F862)</f>
        <v>2</v>
      </c>
      <c r="D862" s="4">
        <f>DAY(F862)</f>
        <v>17</v>
      </c>
      <c r="E862" s="4" t="str">
        <f t="shared" si="13"/>
        <v>Friday</v>
      </c>
      <c r="F862" s="3">
        <v>44974</v>
      </c>
      <c r="G862" s="4" t="s">
        <v>893</v>
      </c>
      <c r="H862" s="4" t="s">
        <v>7</v>
      </c>
      <c r="I862" s="4">
        <v>41</v>
      </c>
      <c r="J862" s="4" t="str" cm="1">
        <f t="array" ref="J862">_xlfn.IFS(I862&lt;30,"Young Adult", I862&lt;50,"Adult",I862 &gt;=50,"Seniors")</f>
        <v>Adult</v>
      </c>
      <c r="K862" s="4" t="s">
        <v>3</v>
      </c>
      <c r="L862" s="4">
        <v>3</v>
      </c>
      <c r="M862" s="5">
        <v>30</v>
      </c>
      <c r="N862">
        <f>L862*M862</f>
        <v>90</v>
      </c>
      <c r="O862" s="15">
        <f>N862*$R$3</f>
        <v>1.3499999999999999</v>
      </c>
    </row>
    <row r="863" spans="1:15">
      <c r="A863" s="2">
        <v>862</v>
      </c>
      <c r="B863" s="4">
        <f>YEAR(F863)</f>
        <v>2023</v>
      </c>
      <c r="C863" s="4">
        <f>MONTH(F863)</f>
        <v>5</v>
      </c>
      <c r="D863" s="4">
        <f>DAY(F863)</f>
        <v>31</v>
      </c>
      <c r="E863" s="4" t="str">
        <f t="shared" si="13"/>
        <v>Wednesday</v>
      </c>
      <c r="F863" s="3">
        <v>45077</v>
      </c>
      <c r="G863" s="4" t="s">
        <v>894</v>
      </c>
      <c r="H863" s="4" t="s">
        <v>8</v>
      </c>
      <c r="I863" s="4">
        <v>28</v>
      </c>
      <c r="J863" s="4" t="str" cm="1">
        <f t="array" ref="J863">_xlfn.IFS(I863&lt;30,"Young Adult", I863&lt;50,"Adult",I863 &gt;=50,"Seniors")</f>
        <v>Young Adult</v>
      </c>
      <c r="K863" s="4" t="s">
        <v>4</v>
      </c>
      <c r="L863" s="4">
        <v>4</v>
      </c>
      <c r="M863" s="5">
        <v>300</v>
      </c>
      <c r="N863">
        <f>L863*M863</f>
        <v>1200</v>
      </c>
      <c r="O863" s="15">
        <f>N863*$R$3</f>
        <v>18</v>
      </c>
    </row>
    <row r="864" spans="1:15">
      <c r="A864" s="2">
        <v>863</v>
      </c>
      <c r="B864" s="4">
        <f>YEAR(F864)</f>
        <v>2023</v>
      </c>
      <c r="C864" s="4">
        <f>MONTH(F864)</f>
        <v>4</v>
      </c>
      <c r="D864" s="4">
        <f>DAY(F864)</f>
        <v>24</v>
      </c>
      <c r="E864" s="4" t="str">
        <f t="shared" si="13"/>
        <v>Monday</v>
      </c>
      <c r="F864" s="3">
        <v>45040</v>
      </c>
      <c r="G864" s="4" t="s">
        <v>895</v>
      </c>
      <c r="H864" s="4" t="s">
        <v>7</v>
      </c>
      <c r="I864" s="4">
        <v>30</v>
      </c>
      <c r="J864" s="4" t="str" cm="1">
        <f t="array" ref="J864">_xlfn.IFS(I864&lt;30,"Young Adult", I864&lt;50,"Adult",I864 &gt;=50,"Seniors")</f>
        <v>Adult</v>
      </c>
      <c r="K864" s="4" t="s">
        <v>4</v>
      </c>
      <c r="L864" s="4">
        <v>2</v>
      </c>
      <c r="M864" s="5">
        <v>25</v>
      </c>
      <c r="N864">
        <f>L864*M864</f>
        <v>50</v>
      </c>
      <c r="O864" s="15">
        <f>N864*$R$3</f>
        <v>0.75</v>
      </c>
    </row>
    <row r="865" spans="1:15">
      <c r="A865" s="2">
        <v>864</v>
      </c>
      <c r="B865" s="4">
        <f>YEAR(F865)</f>
        <v>2023</v>
      </c>
      <c r="C865" s="4">
        <f>MONTH(F865)</f>
        <v>7</v>
      </c>
      <c r="D865" s="4">
        <f>DAY(F865)</f>
        <v>27</v>
      </c>
      <c r="E865" s="4" t="str">
        <f t="shared" si="13"/>
        <v>Thursday</v>
      </c>
      <c r="F865" s="3">
        <v>45134</v>
      </c>
      <c r="G865" s="4" t="s">
        <v>896</v>
      </c>
      <c r="H865" s="4" t="s">
        <v>7</v>
      </c>
      <c r="I865" s="4">
        <v>51</v>
      </c>
      <c r="J865" s="4" t="str" cm="1">
        <f t="array" ref="J865">_xlfn.IFS(I865&lt;30,"Young Adult", I865&lt;50,"Adult",I865 &gt;=50,"Seniors")</f>
        <v>Seniors</v>
      </c>
      <c r="K865" s="4" t="s">
        <v>4</v>
      </c>
      <c r="L865" s="4">
        <v>1</v>
      </c>
      <c r="M865" s="5">
        <v>500</v>
      </c>
      <c r="N865">
        <f>L865*M865</f>
        <v>500</v>
      </c>
      <c r="O865" s="15">
        <f>N865*$R$3</f>
        <v>7.5</v>
      </c>
    </row>
    <row r="866" spans="1:15">
      <c r="A866" s="2">
        <v>865</v>
      </c>
      <c r="B866" s="4">
        <f>YEAR(F866)</f>
        <v>2023</v>
      </c>
      <c r="C866" s="4">
        <f>MONTH(F866)</f>
        <v>12</v>
      </c>
      <c r="D866" s="4">
        <f>DAY(F866)</f>
        <v>21</v>
      </c>
      <c r="E866" s="4" t="str">
        <f t="shared" si="13"/>
        <v>Thursday</v>
      </c>
      <c r="F866" s="3">
        <v>45281</v>
      </c>
      <c r="G866" s="4" t="s">
        <v>897</v>
      </c>
      <c r="H866" s="4" t="s">
        <v>7</v>
      </c>
      <c r="I866" s="4">
        <v>42</v>
      </c>
      <c r="J866" s="4" t="str" cm="1">
        <f t="array" ref="J866">_xlfn.IFS(I866&lt;30,"Young Adult", I866&lt;50,"Adult",I866 &gt;=50,"Seniors")</f>
        <v>Adult</v>
      </c>
      <c r="K866" s="4" t="s">
        <v>3</v>
      </c>
      <c r="L866" s="4">
        <v>1</v>
      </c>
      <c r="M866" s="5">
        <v>300</v>
      </c>
      <c r="N866">
        <f>L866*M866</f>
        <v>300</v>
      </c>
      <c r="O866" s="15">
        <f>N866*$R$3</f>
        <v>4.5</v>
      </c>
    </row>
    <row r="867" spans="1:15">
      <c r="A867" s="2">
        <v>866</v>
      </c>
      <c r="B867" s="4">
        <f>YEAR(F867)</f>
        <v>2023</v>
      </c>
      <c r="C867" s="4">
        <f>MONTH(F867)</f>
        <v>5</v>
      </c>
      <c r="D867" s="4">
        <f>DAY(F867)</f>
        <v>5</v>
      </c>
      <c r="E867" s="4" t="str">
        <f t="shared" si="13"/>
        <v>Friday</v>
      </c>
      <c r="F867" s="3">
        <v>45051</v>
      </c>
      <c r="G867" s="4" t="s">
        <v>898</v>
      </c>
      <c r="H867" s="4" t="s">
        <v>8</v>
      </c>
      <c r="I867" s="4">
        <v>24</v>
      </c>
      <c r="J867" s="4" t="str" cm="1">
        <f t="array" ref="J867">_xlfn.IFS(I867&lt;30,"Young Adult", I867&lt;50,"Adult",I867 &gt;=50,"Seniors")</f>
        <v>Young Adult</v>
      </c>
      <c r="K867" s="4" t="s">
        <v>4</v>
      </c>
      <c r="L867" s="4">
        <v>1</v>
      </c>
      <c r="M867" s="5">
        <v>50</v>
      </c>
      <c r="N867">
        <f>L867*M867</f>
        <v>50</v>
      </c>
      <c r="O867" s="15">
        <f>N867*$R$3</f>
        <v>0.75</v>
      </c>
    </row>
    <row r="868" spans="1:15">
      <c r="A868" s="2">
        <v>867</v>
      </c>
      <c r="B868" s="4">
        <f>YEAR(F868)</f>
        <v>2023</v>
      </c>
      <c r="C868" s="4">
        <f>MONTH(F868)</f>
        <v>6</v>
      </c>
      <c r="D868" s="4">
        <f>DAY(F868)</f>
        <v>6</v>
      </c>
      <c r="E868" s="4" t="str">
        <f t="shared" si="13"/>
        <v>Tuesday</v>
      </c>
      <c r="F868" s="3">
        <v>45083</v>
      </c>
      <c r="G868" s="4" t="s">
        <v>899</v>
      </c>
      <c r="H868" s="4" t="s">
        <v>8</v>
      </c>
      <c r="I868" s="4">
        <v>21</v>
      </c>
      <c r="J868" s="4" t="str" cm="1">
        <f t="array" ref="J868">_xlfn.IFS(I868&lt;30,"Young Adult", I868&lt;50,"Adult",I868 &gt;=50,"Seniors")</f>
        <v>Young Adult</v>
      </c>
      <c r="K868" s="4" t="s">
        <v>4</v>
      </c>
      <c r="L868" s="4">
        <v>1</v>
      </c>
      <c r="M868" s="5">
        <v>500</v>
      </c>
      <c r="N868">
        <f>L868*M868</f>
        <v>500</v>
      </c>
      <c r="O868" s="15">
        <f>N868*$R$3</f>
        <v>7.5</v>
      </c>
    </row>
    <row r="869" spans="1:15">
      <c r="A869" s="2">
        <v>868</v>
      </c>
      <c r="B869" s="4">
        <f>YEAR(F869)</f>
        <v>2023</v>
      </c>
      <c r="C869" s="4">
        <f>MONTH(F869)</f>
        <v>12</v>
      </c>
      <c r="D869" s="4">
        <f>DAY(F869)</f>
        <v>6</v>
      </c>
      <c r="E869" s="4" t="str">
        <f t="shared" si="13"/>
        <v>Wednesday</v>
      </c>
      <c r="F869" s="3">
        <v>45266</v>
      </c>
      <c r="G869" s="4" t="s">
        <v>900</v>
      </c>
      <c r="H869" s="4" t="s">
        <v>7</v>
      </c>
      <c r="I869" s="4">
        <v>25</v>
      </c>
      <c r="J869" s="4" t="str" cm="1">
        <f t="array" ref="J869">_xlfn.IFS(I869&lt;30,"Young Adult", I869&lt;50,"Adult",I869 &gt;=50,"Seniors")</f>
        <v>Young Adult</v>
      </c>
      <c r="K869" s="4" t="s">
        <v>4</v>
      </c>
      <c r="L869" s="4">
        <v>1</v>
      </c>
      <c r="M869" s="5">
        <v>300</v>
      </c>
      <c r="N869">
        <f>L869*M869</f>
        <v>300</v>
      </c>
      <c r="O869" s="15">
        <f>N869*$R$3</f>
        <v>4.5</v>
      </c>
    </row>
    <row r="870" spans="1:15">
      <c r="A870" s="2">
        <v>869</v>
      </c>
      <c r="B870" s="4">
        <f>YEAR(F870)</f>
        <v>2023</v>
      </c>
      <c r="C870" s="4">
        <f>MONTH(F870)</f>
        <v>10</v>
      </c>
      <c r="D870" s="4">
        <f>DAY(F870)</f>
        <v>25</v>
      </c>
      <c r="E870" s="4" t="str">
        <f t="shared" si="13"/>
        <v>Wednesday</v>
      </c>
      <c r="F870" s="3">
        <v>45224</v>
      </c>
      <c r="G870" s="4" t="s">
        <v>901</v>
      </c>
      <c r="H870" s="4" t="s">
        <v>8</v>
      </c>
      <c r="I870" s="4">
        <v>37</v>
      </c>
      <c r="J870" s="4" t="str" cm="1">
        <f t="array" ref="J870">_xlfn.IFS(I870&lt;30,"Young Adult", I870&lt;50,"Adult",I870 &gt;=50,"Seniors")</f>
        <v>Adult</v>
      </c>
      <c r="K870" s="4" t="s">
        <v>2</v>
      </c>
      <c r="L870" s="4">
        <v>3</v>
      </c>
      <c r="M870" s="5">
        <v>500</v>
      </c>
      <c r="N870">
        <f>L870*M870</f>
        <v>1500</v>
      </c>
      <c r="O870" s="15">
        <f>N870*$R$3</f>
        <v>22.5</v>
      </c>
    </row>
    <row r="871" spans="1:15">
      <c r="A871" s="2">
        <v>870</v>
      </c>
      <c r="B871" s="4">
        <f>YEAR(F871)</f>
        <v>2023</v>
      </c>
      <c r="C871" s="4">
        <f>MONTH(F871)</f>
        <v>7</v>
      </c>
      <c r="D871" s="4">
        <f>DAY(F871)</f>
        <v>8</v>
      </c>
      <c r="E871" s="4" t="str">
        <f t="shared" si="13"/>
        <v>Saturday</v>
      </c>
      <c r="F871" s="3">
        <v>45115</v>
      </c>
      <c r="G871" s="4" t="s">
        <v>902</v>
      </c>
      <c r="H871" s="4" t="s">
        <v>7</v>
      </c>
      <c r="I871" s="4">
        <v>46</v>
      </c>
      <c r="J871" s="4" t="str" cm="1">
        <f t="array" ref="J871">_xlfn.IFS(I871&lt;30,"Young Adult", I871&lt;50,"Adult",I871 &gt;=50,"Seniors")</f>
        <v>Adult</v>
      </c>
      <c r="K871" s="4" t="s">
        <v>4</v>
      </c>
      <c r="L871" s="4">
        <v>4</v>
      </c>
      <c r="M871" s="5">
        <v>30</v>
      </c>
      <c r="N871">
        <f>L871*M871</f>
        <v>120</v>
      </c>
      <c r="O871" s="15">
        <f>N871*$R$3</f>
        <v>1.7999999999999998</v>
      </c>
    </row>
    <row r="872" spans="1:15">
      <c r="A872" s="2">
        <v>871</v>
      </c>
      <c r="B872" s="4">
        <f>YEAR(F872)</f>
        <v>2023</v>
      </c>
      <c r="C872" s="4">
        <f>MONTH(F872)</f>
        <v>8</v>
      </c>
      <c r="D872" s="4">
        <f>DAY(F872)</f>
        <v>31</v>
      </c>
      <c r="E872" s="4" t="str">
        <f t="shared" si="13"/>
        <v>Thursday</v>
      </c>
      <c r="F872" s="3">
        <v>45169</v>
      </c>
      <c r="G872" s="4" t="s">
        <v>903</v>
      </c>
      <c r="H872" s="4" t="s">
        <v>8</v>
      </c>
      <c r="I872" s="4">
        <v>62</v>
      </c>
      <c r="J872" s="4" t="str" cm="1">
        <f t="array" ref="J872">_xlfn.IFS(I872&lt;30,"Young Adult", I872&lt;50,"Adult",I872 &gt;=50,"Seniors")</f>
        <v>Seniors</v>
      </c>
      <c r="K872" s="4" t="s">
        <v>2</v>
      </c>
      <c r="L872" s="4">
        <v>2</v>
      </c>
      <c r="M872" s="5">
        <v>30</v>
      </c>
      <c r="N872">
        <f>L872*M872</f>
        <v>60</v>
      </c>
      <c r="O872" s="15">
        <f>N872*$R$3</f>
        <v>0.89999999999999991</v>
      </c>
    </row>
    <row r="873" spans="1:15">
      <c r="A873" s="2">
        <v>872</v>
      </c>
      <c r="B873" s="4">
        <f>YEAR(F873)</f>
        <v>2023</v>
      </c>
      <c r="C873" s="4">
        <f>MONTH(F873)</f>
        <v>10</v>
      </c>
      <c r="D873" s="4">
        <f>DAY(F873)</f>
        <v>11</v>
      </c>
      <c r="E873" s="4" t="str">
        <f t="shared" si="13"/>
        <v>Wednesday</v>
      </c>
      <c r="F873" s="3">
        <v>45210</v>
      </c>
      <c r="G873" s="4" t="s">
        <v>904</v>
      </c>
      <c r="H873" s="4" t="s">
        <v>7</v>
      </c>
      <c r="I873" s="4">
        <v>63</v>
      </c>
      <c r="J873" s="4" t="str" cm="1">
        <f t="array" ref="J873">_xlfn.IFS(I873&lt;30,"Young Adult", I873&lt;50,"Adult",I873 &gt;=50,"Seniors")</f>
        <v>Seniors</v>
      </c>
      <c r="K873" s="4" t="s">
        <v>2</v>
      </c>
      <c r="L873" s="4">
        <v>3</v>
      </c>
      <c r="M873" s="5">
        <v>25</v>
      </c>
      <c r="N873">
        <f>L873*M873</f>
        <v>75</v>
      </c>
      <c r="O873" s="15">
        <f>N873*$R$3</f>
        <v>1.125</v>
      </c>
    </row>
    <row r="874" spans="1:15">
      <c r="A874" s="2">
        <v>873</v>
      </c>
      <c r="B874" s="4">
        <f>YEAR(F874)</f>
        <v>2023</v>
      </c>
      <c r="C874" s="4">
        <f>MONTH(F874)</f>
        <v>9</v>
      </c>
      <c r="D874" s="4">
        <f>DAY(F874)</f>
        <v>29</v>
      </c>
      <c r="E874" s="4" t="str">
        <f t="shared" si="13"/>
        <v>Friday</v>
      </c>
      <c r="F874" s="3">
        <v>45198</v>
      </c>
      <c r="G874" s="4" t="s">
        <v>905</v>
      </c>
      <c r="H874" s="4" t="s">
        <v>7</v>
      </c>
      <c r="I874" s="4">
        <v>27</v>
      </c>
      <c r="J874" s="4" t="str" cm="1">
        <f t="array" ref="J874">_xlfn.IFS(I874&lt;30,"Young Adult", I874&lt;50,"Adult",I874 &gt;=50,"Seniors")</f>
        <v>Young Adult</v>
      </c>
      <c r="K874" s="4" t="s">
        <v>4</v>
      </c>
      <c r="L874" s="4">
        <v>4</v>
      </c>
      <c r="M874" s="5">
        <v>25</v>
      </c>
      <c r="N874">
        <f>L874*M874</f>
        <v>100</v>
      </c>
      <c r="O874" s="15">
        <f>N874*$R$3</f>
        <v>1.5</v>
      </c>
    </row>
    <row r="875" spans="1:15">
      <c r="A875" s="2">
        <v>874</v>
      </c>
      <c r="B875" s="4">
        <f>YEAR(F875)</f>
        <v>2023</v>
      </c>
      <c r="C875" s="4">
        <f>MONTH(F875)</f>
        <v>6</v>
      </c>
      <c r="D875" s="4">
        <f>DAY(F875)</f>
        <v>26</v>
      </c>
      <c r="E875" s="4" t="str">
        <f t="shared" si="13"/>
        <v>Monday</v>
      </c>
      <c r="F875" s="3">
        <v>45103</v>
      </c>
      <c r="G875" s="4" t="s">
        <v>906</v>
      </c>
      <c r="H875" s="4" t="s">
        <v>8</v>
      </c>
      <c r="I875" s="4">
        <v>60</v>
      </c>
      <c r="J875" s="4" t="str" cm="1">
        <f t="array" ref="J875">_xlfn.IFS(I875&lt;30,"Young Adult", I875&lt;50,"Adult",I875 &gt;=50,"Seniors")</f>
        <v>Seniors</v>
      </c>
      <c r="K875" s="4" t="s">
        <v>2</v>
      </c>
      <c r="L875" s="4">
        <v>1</v>
      </c>
      <c r="M875" s="5">
        <v>30</v>
      </c>
      <c r="N875">
        <f>L875*M875</f>
        <v>30</v>
      </c>
      <c r="O875" s="15">
        <f>N875*$R$3</f>
        <v>0.44999999999999996</v>
      </c>
    </row>
    <row r="876" spans="1:15">
      <c r="A876" s="2">
        <v>875</v>
      </c>
      <c r="B876" s="4">
        <f>YEAR(F876)</f>
        <v>2023</v>
      </c>
      <c r="C876" s="4">
        <f>MONTH(F876)</f>
        <v>8</v>
      </c>
      <c r="D876" s="4">
        <f>DAY(F876)</f>
        <v>6</v>
      </c>
      <c r="E876" s="4" t="str">
        <f t="shared" si="13"/>
        <v>Sunday</v>
      </c>
      <c r="F876" s="3">
        <v>45144</v>
      </c>
      <c r="G876" s="4" t="s">
        <v>907</v>
      </c>
      <c r="H876" s="4" t="s">
        <v>7</v>
      </c>
      <c r="I876" s="4">
        <v>51</v>
      </c>
      <c r="J876" s="4" t="str" cm="1">
        <f t="array" ref="J876">_xlfn.IFS(I876&lt;30,"Young Adult", I876&lt;50,"Adult",I876 &gt;=50,"Seniors")</f>
        <v>Seniors</v>
      </c>
      <c r="K876" s="4" t="s">
        <v>4</v>
      </c>
      <c r="L876" s="4">
        <v>4</v>
      </c>
      <c r="M876" s="5">
        <v>500</v>
      </c>
      <c r="N876">
        <f>L876*M876</f>
        <v>2000</v>
      </c>
      <c r="O876" s="15">
        <f>N876*$R$3</f>
        <v>30</v>
      </c>
    </row>
    <row r="877" spans="1:15">
      <c r="A877" s="2">
        <v>876</v>
      </c>
      <c r="B877" s="4">
        <f>YEAR(F877)</f>
        <v>2023</v>
      </c>
      <c r="C877" s="4">
        <f>MONTH(F877)</f>
        <v>10</v>
      </c>
      <c r="D877" s="4">
        <f>DAY(F877)</f>
        <v>9</v>
      </c>
      <c r="E877" s="4" t="str">
        <f t="shared" si="13"/>
        <v>Monday</v>
      </c>
      <c r="F877" s="3">
        <v>45208</v>
      </c>
      <c r="G877" s="4" t="s">
        <v>908</v>
      </c>
      <c r="H877" s="4" t="s">
        <v>8</v>
      </c>
      <c r="I877" s="4">
        <v>43</v>
      </c>
      <c r="J877" s="4" t="str" cm="1">
        <f t="array" ref="J877">_xlfn.IFS(I877&lt;30,"Young Adult", I877&lt;50,"Adult",I877 &gt;=50,"Seniors")</f>
        <v>Adult</v>
      </c>
      <c r="K877" s="4" t="s">
        <v>3</v>
      </c>
      <c r="L877" s="4">
        <v>4</v>
      </c>
      <c r="M877" s="5">
        <v>30</v>
      </c>
      <c r="N877">
        <f>L877*M877</f>
        <v>120</v>
      </c>
      <c r="O877" s="15">
        <f>N877*$R$3</f>
        <v>1.7999999999999998</v>
      </c>
    </row>
    <row r="878" spans="1:15">
      <c r="A878" s="2">
        <v>877</v>
      </c>
      <c r="B878" s="4">
        <f>YEAR(F878)</f>
        <v>2023</v>
      </c>
      <c r="C878" s="4">
        <f>MONTH(F878)</f>
        <v>6</v>
      </c>
      <c r="D878" s="4">
        <f>DAY(F878)</f>
        <v>19</v>
      </c>
      <c r="E878" s="4" t="str">
        <f t="shared" si="13"/>
        <v>Monday</v>
      </c>
      <c r="F878" s="3">
        <v>45096</v>
      </c>
      <c r="G878" s="4" t="s">
        <v>909</v>
      </c>
      <c r="H878" s="4" t="s">
        <v>7</v>
      </c>
      <c r="I878" s="4">
        <v>58</v>
      </c>
      <c r="J878" s="4" t="str" cm="1">
        <f t="array" ref="J878">_xlfn.IFS(I878&lt;30,"Young Adult", I878&lt;50,"Adult",I878 &gt;=50,"Seniors")</f>
        <v>Seniors</v>
      </c>
      <c r="K878" s="4" t="s">
        <v>3</v>
      </c>
      <c r="L878" s="4">
        <v>1</v>
      </c>
      <c r="M878" s="5">
        <v>25</v>
      </c>
      <c r="N878">
        <f>L878*M878</f>
        <v>25</v>
      </c>
      <c r="O878" s="15">
        <f>N878*$R$3</f>
        <v>0.375</v>
      </c>
    </row>
    <row r="879" spans="1:15">
      <c r="A879" s="2">
        <v>878</v>
      </c>
      <c r="B879" s="4">
        <f>YEAR(F879)</f>
        <v>2023</v>
      </c>
      <c r="C879" s="4">
        <f>MONTH(F879)</f>
        <v>6</v>
      </c>
      <c r="D879" s="4">
        <f>DAY(F879)</f>
        <v>30</v>
      </c>
      <c r="E879" s="4" t="str">
        <f t="shared" si="13"/>
        <v>Friday</v>
      </c>
      <c r="F879" s="3">
        <v>45107</v>
      </c>
      <c r="G879" s="4" t="s">
        <v>910</v>
      </c>
      <c r="H879" s="4" t="s">
        <v>7</v>
      </c>
      <c r="I879" s="4">
        <v>20</v>
      </c>
      <c r="J879" s="4" t="str" cm="1">
        <f t="array" ref="J879">_xlfn.IFS(I879&lt;30,"Young Adult", I879&lt;50,"Adult",I879 &gt;=50,"Seniors")</f>
        <v>Young Adult</v>
      </c>
      <c r="K879" s="4" t="s">
        <v>3</v>
      </c>
      <c r="L879" s="4">
        <v>1</v>
      </c>
      <c r="M879" s="5">
        <v>30</v>
      </c>
      <c r="N879">
        <f>L879*M879</f>
        <v>30</v>
      </c>
      <c r="O879" s="15">
        <f>N879*$R$3</f>
        <v>0.44999999999999996</v>
      </c>
    </row>
    <row r="880" spans="1:15">
      <c r="A880" s="2">
        <v>879</v>
      </c>
      <c r="B880" s="4">
        <f>YEAR(F880)</f>
        <v>2023</v>
      </c>
      <c r="C880" s="4">
        <f>MONTH(F880)</f>
        <v>12</v>
      </c>
      <c r="D880" s="4">
        <f>DAY(F880)</f>
        <v>26</v>
      </c>
      <c r="E880" s="4" t="str">
        <f t="shared" si="13"/>
        <v>Tuesday</v>
      </c>
      <c r="F880" s="3">
        <v>45286</v>
      </c>
      <c r="G880" s="4" t="s">
        <v>911</v>
      </c>
      <c r="H880" s="4" t="s">
        <v>8</v>
      </c>
      <c r="I880" s="4">
        <v>23</v>
      </c>
      <c r="J880" s="4" t="str" cm="1">
        <f t="array" ref="J880">_xlfn.IFS(I880&lt;30,"Young Adult", I880&lt;50,"Adult",I880 &gt;=50,"Seniors")</f>
        <v>Young Adult</v>
      </c>
      <c r="K880" s="4" t="s">
        <v>3</v>
      </c>
      <c r="L880" s="4">
        <v>1</v>
      </c>
      <c r="M880" s="5">
        <v>30</v>
      </c>
      <c r="N880">
        <f>L880*M880</f>
        <v>30</v>
      </c>
      <c r="O880" s="15">
        <f>N880*$R$3</f>
        <v>0.44999999999999996</v>
      </c>
    </row>
    <row r="881" spans="1:15">
      <c r="A881" s="2">
        <v>880</v>
      </c>
      <c r="B881" s="4">
        <f>YEAR(F881)</f>
        <v>2023</v>
      </c>
      <c r="C881" s="4">
        <f>MONTH(F881)</f>
        <v>8</v>
      </c>
      <c r="D881" s="4">
        <f>DAY(F881)</f>
        <v>21</v>
      </c>
      <c r="E881" s="4" t="str">
        <f t="shared" si="13"/>
        <v>Monday</v>
      </c>
      <c r="F881" s="3">
        <v>45159</v>
      </c>
      <c r="G881" s="4" t="s">
        <v>912</v>
      </c>
      <c r="H881" s="4" t="s">
        <v>8</v>
      </c>
      <c r="I881" s="4">
        <v>22</v>
      </c>
      <c r="J881" s="4" t="str" cm="1">
        <f t="array" ref="J881">_xlfn.IFS(I881&lt;30,"Young Adult", I881&lt;50,"Adult",I881 &gt;=50,"Seniors")</f>
        <v>Young Adult</v>
      </c>
      <c r="K881" s="4" t="s">
        <v>2</v>
      </c>
      <c r="L881" s="4">
        <v>2</v>
      </c>
      <c r="M881" s="5">
        <v>500</v>
      </c>
      <c r="N881">
        <f>L881*M881</f>
        <v>1000</v>
      </c>
      <c r="O881" s="15">
        <f>N881*$R$3</f>
        <v>15</v>
      </c>
    </row>
    <row r="882" spans="1:15">
      <c r="A882" s="2">
        <v>881</v>
      </c>
      <c r="B882" s="4">
        <f>YEAR(F882)</f>
        <v>2023</v>
      </c>
      <c r="C882" s="4">
        <f>MONTH(F882)</f>
        <v>5</v>
      </c>
      <c r="D882" s="4">
        <f>DAY(F882)</f>
        <v>19</v>
      </c>
      <c r="E882" s="4" t="str">
        <f t="shared" si="13"/>
        <v>Friday</v>
      </c>
      <c r="F882" s="3">
        <v>45065</v>
      </c>
      <c r="G882" s="4" t="s">
        <v>913</v>
      </c>
      <c r="H882" s="4" t="s">
        <v>8</v>
      </c>
      <c r="I882" s="4">
        <v>22</v>
      </c>
      <c r="J882" s="4" t="str" cm="1">
        <f t="array" ref="J882">_xlfn.IFS(I882&lt;30,"Young Adult", I882&lt;50,"Adult",I882 &gt;=50,"Seniors")</f>
        <v>Young Adult</v>
      </c>
      <c r="K882" s="4" t="s">
        <v>4</v>
      </c>
      <c r="L882" s="4">
        <v>1</v>
      </c>
      <c r="M882" s="5">
        <v>300</v>
      </c>
      <c r="N882">
        <f>L882*M882</f>
        <v>300</v>
      </c>
      <c r="O882" s="15">
        <f>N882*$R$3</f>
        <v>4.5</v>
      </c>
    </row>
    <row r="883" spans="1:15">
      <c r="A883" s="2">
        <v>882</v>
      </c>
      <c r="B883" s="4">
        <f>YEAR(F883)</f>
        <v>2023</v>
      </c>
      <c r="C883" s="4">
        <f>MONTH(F883)</f>
        <v>6</v>
      </c>
      <c r="D883" s="4">
        <f>DAY(F883)</f>
        <v>6</v>
      </c>
      <c r="E883" s="4" t="str">
        <f t="shared" si="13"/>
        <v>Tuesday</v>
      </c>
      <c r="F883" s="3">
        <v>45083</v>
      </c>
      <c r="G883" s="4" t="s">
        <v>914</v>
      </c>
      <c r="H883" s="4" t="s">
        <v>7</v>
      </c>
      <c r="I883" s="4">
        <v>64</v>
      </c>
      <c r="J883" s="4" t="str" cm="1">
        <f t="array" ref="J883">_xlfn.IFS(I883&lt;30,"Young Adult", I883&lt;50,"Adult",I883 &gt;=50,"Seniors")</f>
        <v>Seniors</v>
      </c>
      <c r="K883" s="4" t="s">
        <v>4</v>
      </c>
      <c r="L883" s="4">
        <v>2</v>
      </c>
      <c r="M883" s="5">
        <v>25</v>
      </c>
      <c r="N883">
        <f>L883*M883</f>
        <v>50</v>
      </c>
      <c r="O883" s="15">
        <f>N883*$R$3</f>
        <v>0.75</v>
      </c>
    </row>
    <row r="884" spans="1:15">
      <c r="A884" s="2">
        <v>883</v>
      </c>
      <c r="B884" s="4">
        <f>YEAR(F884)</f>
        <v>2023</v>
      </c>
      <c r="C884" s="4">
        <f>MONTH(F884)</f>
        <v>5</v>
      </c>
      <c r="D884" s="4">
        <f>DAY(F884)</f>
        <v>9</v>
      </c>
      <c r="E884" s="4" t="str">
        <f t="shared" si="13"/>
        <v>Tuesday</v>
      </c>
      <c r="F884" s="3">
        <v>45055</v>
      </c>
      <c r="G884" s="4" t="s">
        <v>915</v>
      </c>
      <c r="H884" s="4" t="s">
        <v>8</v>
      </c>
      <c r="I884" s="4">
        <v>40</v>
      </c>
      <c r="J884" s="4" t="str" cm="1">
        <f t="array" ref="J884">_xlfn.IFS(I884&lt;30,"Young Adult", I884&lt;50,"Adult",I884 &gt;=50,"Seniors")</f>
        <v>Adult</v>
      </c>
      <c r="K884" s="4" t="s">
        <v>4</v>
      </c>
      <c r="L884" s="4">
        <v>1</v>
      </c>
      <c r="M884" s="5">
        <v>500</v>
      </c>
      <c r="N884">
        <f>L884*M884</f>
        <v>500</v>
      </c>
      <c r="O884" s="15">
        <f>N884*$R$3</f>
        <v>7.5</v>
      </c>
    </row>
    <row r="885" spans="1:15">
      <c r="A885" s="2">
        <v>884</v>
      </c>
      <c r="B885" s="4">
        <f>YEAR(F885)</f>
        <v>2023</v>
      </c>
      <c r="C885" s="4">
        <f>MONTH(F885)</f>
        <v>4</v>
      </c>
      <c r="D885" s="4">
        <f>DAY(F885)</f>
        <v>29</v>
      </c>
      <c r="E885" s="4" t="str">
        <f t="shared" si="13"/>
        <v>Saturday</v>
      </c>
      <c r="F885" s="3">
        <v>45045</v>
      </c>
      <c r="G885" s="4" t="s">
        <v>916</v>
      </c>
      <c r="H885" s="4" t="s">
        <v>7</v>
      </c>
      <c r="I885" s="4">
        <v>26</v>
      </c>
      <c r="J885" s="4" t="str" cm="1">
        <f t="array" ref="J885">_xlfn.IFS(I885&lt;30,"Young Adult", I885&lt;50,"Adult",I885 &gt;=50,"Seniors")</f>
        <v>Young Adult</v>
      </c>
      <c r="K885" s="4" t="s">
        <v>3</v>
      </c>
      <c r="L885" s="4">
        <v>2</v>
      </c>
      <c r="M885" s="5">
        <v>30</v>
      </c>
      <c r="N885">
        <f>L885*M885</f>
        <v>60</v>
      </c>
      <c r="O885" s="15">
        <f>N885*$R$3</f>
        <v>0.89999999999999991</v>
      </c>
    </row>
    <row r="886" spans="1:15">
      <c r="A886" s="2">
        <v>885</v>
      </c>
      <c r="B886" s="4">
        <f>YEAR(F886)</f>
        <v>2023</v>
      </c>
      <c r="C886" s="4">
        <f>MONTH(F886)</f>
        <v>3</v>
      </c>
      <c r="D886" s="4">
        <f>DAY(F886)</f>
        <v>3</v>
      </c>
      <c r="E886" s="4" t="str">
        <f t="shared" si="13"/>
        <v>Friday</v>
      </c>
      <c r="F886" s="3">
        <v>44988</v>
      </c>
      <c r="G886" s="4" t="s">
        <v>917</v>
      </c>
      <c r="H886" s="4" t="s">
        <v>7</v>
      </c>
      <c r="I886" s="4">
        <v>52</v>
      </c>
      <c r="J886" s="4" t="str" cm="1">
        <f t="array" ref="J886">_xlfn.IFS(I886&lt;30,"Young Adult", I886&lt;50,"Adult",I886 &gt;=50,"Seniors")</f>
        <v>Seniors</v>
      </c>
      <c r="K886" s="4" t="s">
        <v>3</v>
      </c>
      <c r="L886" s="4">
        <v>4</v>
      </c>
      <c r="M886" s="5">
        <v>30</v>
      </c>
      <c r="N886">
        <f>L886*M886</f>
        <v>120</v>
      </c>
      <c r="O886" s="15">
        <f>N886*$R$3</f>
        <v>1.7999999999999998</v>
      </c>
    </row>
    <row r="887" spans="1:15">
      <c r="A887" s="2">
        <v>886</v>
      </c>
      <c r="B887" s="4">
        <f>YEAR(F887)</f>
        <v>2023</v>
      </c>
      <c r="C887" s="4">
        <f>MONTH(F887)</f>
        <v>4</v>
      </c>
      <c r="D887" s="4">
        <f>DAY(F887)</f>
        <v>9</v>
      </c>
      <c r="E887" s="4" t="str">
        <f t="shared" si="13"/>
        <v>Sunday</v>
      </c>
      <c r="F887" s="3">
        <v>45025</v>
      </c>
      <c r="G887" s="4" t="s">
        <v>918</v>
      </c>
      <c r="H887" s="4" t="s">
        <v>8</v>
      </c>
      <c r="I887" s="4">
        <v>37</v>
      </c>
      <c r="J887" s="4" t="str" cm="1">
        <f t="array" ref="J887">_xlfn.IFS(I887&lt;30,"Young Adult", I887&lt;50,"Adult",I887 &gt;=50,"Seniors")</f>
        <v>Adult</v>
      </c>
      <c r="K887" s="4" t="s">
        <v>4</v>
      </c>
      <c r="L887" s="4">
        <v>3</v>
      </c>
      <c r="M887" s="5">
        <v>300</v>
      </c>
      <c r="N887">
        <f>L887*M887</f>
        <v>900</v>
      </c>
      <c r="O887" s="15">
        <f>N887*$R$3</f>
        <v>13.5</v>
      </c>
    </row>
    <row r="888" spans="1:15">
      <c r="A888" s="2">
        <v>887</v>
      </c>
      <c r="B888" s="4">
        <f>YEAR(F888)</f>
        <v>2023</v>
      </c>
      <c r="C888" s="4">
        <f>MONTH(F888)</f>
        <v>6</v>
      </c>
      <c r="D888" s="4">
        <f>DAY(F888)</f>
        <v>11</v>
      </c>
      <c r="E888" s="4" t="str">
        <f t="shared" si="13"/>
        <v>Sunday</v>
      </c>
      <c r="F888" s="3">
        <v>45088</v>
      </c>
      <c r="G888" s="4" t="s">
        <v>919</v>
      </c>
      <c r="H888" s="4" t="s">
        <v>8</v>
      </c>
      <c r="I888" s="4">
        <v>59</v>
      </c>
      <c r="J888" s="4" t="str" cm="1">
        <f t="array" ref="J888">_xlfn.IFS(I888&lt;30,"Young Adult", I888&lt;50,"Adult",I888 &gt;=50,"Seniors")</f>
        <v>Seniors</v>
      </c>
      <c r="K888" s="4" t="s">
        <v>3</v>
      </c>
      <c r="L888" s="4">
        <v>4</v>
      </c>
      <c r="M888" s="5">
        <v>25</v>
      </c>
      <c r="N888">
        <f>L888*M888</f>
        <v>100</v>
      </c>
      <c r="O888" s="15">
        <f>N888*$R$3</f>
        <v>1.5</v>
      </c>
    </row>
    <row r="889" spans="1:15">
      <c r="A889" s="2">
        <v>888</v>
      </c>
      <c r="B889" s="4">
        <f>YEAR(F889)</f>
        <v>2023</v>
      </c>
      <c r="C889" s="4">
        <f>MONTH(F889)</f>
        <v>3</v>
      </c>
      <c r="D889" s="4">
        <f>DAY(F889)</f>
        <v>3</v>
      </c>
      <c r="E889" s="4" t="str">
        <f t="shared" si="13"/>
        <v>Friday</v>
      </c>
      <c r="F889" s="3">
        <v>44988</v>
      </c>
      <c r="G889" s="4" t="s">
        <v>920</v>
      </c>
      <c r="H889" s="4" t="s">
        <v>7</v>
      </c>
      <c r="I889" s="4">
        <v>52</v>
      </c>
      <c r="J889" s="4" t="str" cm="1">
        <f t="array" ref="J889">_xlfn.IFS(I889&lt;30,"Young Adult", I889&lt;50,"Adult",I889 &gt;=50,"Seniors")</f>
        <v>Seniors</v>
      </c>
      <c r="K889" s="4" t="s">
        <v>4</v>
      </c>
      <c r="L889" s="4">
        <v>4</v>
      </c>
      <c r="M889" s="5">
        <v>25</v>
      </c>
      <c r="N889">
        <f>L889*M889</f>
        <v>100</v>
      </c>
      <c r="O889" s="15">
        <f>N889*$R$3</f>
        <v>1.5</v>
      </c>
    </row>
    <row r="890" spans="1:15">
      <c r="A890" s="2">
        <v>889</v>
      </c>
      <c r="B890" s="4">
        <f>YEAR(F890)</f>
        <v>2023</v>
      </c>
      <c r="C890" s="4">
        <f>MONTH(F890)</f>
        <v>10</v>
      </c>
      <c r="D890" s="4">
        <f>DAY(F890)</f>
        <v>2</v>
      </c>
      <c r="E890" s="4" t="str">
        <f t="shared" si="13"/>
        <v>Monday</v>
      </c>
      <c r="F890" s="3">
        <v>45201</v>
      </c>
      <c r="G890" s="4" t="s">
        <v>921</v>
      </c>
      <c r="H890" s="4" t="s">
        <v>7</v>
      </c>
      <c r="I890" s="4">
        <v>35</v>
      </c>
      <c r="J890" s="4" t="str" cm="1">
        <f t="array" ref="J890">_xlfn.IFS(I890&lt;30,"Young Adult", I890&lt;50,"Adult",I890 &gt;=50,"Seniors")</f>
        <v>Adult</v>
      </c>
      <c r="K890" s="4" t="s">
        <v>4</v>
      </c>
      <c r="L890" s="4">
        <v>1</v>
      </c>
      <c r="M890" s="5">
        <v>50</v>
      </c>
      <c r="N890">
        <f>L890*M890</f>
        <v>50</v>
      </c>
      <c r="O890" s="15">
        <f>N890*$R$3</f>
        <v>0.75</v>
      </c>
    </row>
    <row r="891" spans="1:15">
      <c r="A891" s="2">
        <v>890</v>
      </c>
      <c r="B891" s="4">
        <f>YEAR(F891)</f>
        <v>2023</v>
      </c>
      <c r="C891" s="4">
        <f>MONTH(F891)</f>
        <v>12</v>
      </c>
      <c r="D891" s="4">
        <f>DAY(F891)</f>
        <v>20</v>
      </c>
      <c r="E891" s="4" t="str">
        <f t="shared" si="13"/>
        <v>Wednesday</v>
      </c>
      <c r="F891" s="3">
        <v>45280</v>
      </c>
      <c r="G891" s="4" t="s">
        <v>922</v>
      </c>
      <c r="H891" s="4" t="s">
        <v>8</v>
      </c>
      <c r="I891" s="4">
        <v>34</v>
      </c>
      <c r="J891" s="4" t="str" cm="1">
        <f t="array" ref="J891">_xlfn.IFS(I891&lt;30,"Young Adult", I891&lt;50,"Adult",I891 &gt;=50,"Seniors")</f>
        <v>Adult</v>
      </c>
      <c r="K891" s="4" t="s">
        <v>4</v>
      </c>
      <c r="L891" s="4">
        <v>2</v>
      </c>
      <c r="M891" s="5">
        <v>25</v>
      </c>
      <c r="N891">
        <f>L891*M891</f>
        <v>50</v>
      </c>
      <c r="O891" s="15">
        <f>N891*$R$3</f>
        <v>0.75</v>
      </c>
    </row>
    <row r="892" spans="1:15">
      <c r="A892" s="2">
        <v>891</v>
      </c>
      <c r="B892" s="4">
        <f>YEAR(F892)</f>
        <v>2023</v>
      </c>
      <c r="C892" s="4">
        <f>MONTH(F892)</f>
        <v>4</v>
      </c>
      <c r="D892" s="4">
        <f>DAY(F892)</f>
        <v>5</v>
      </c>
      <c r="E892" s="4" t="str">
        <f t="shared" si="13"/>
        <v>Wednesday</v>
      </c>
      <c r="F892" s="3">
        <v>45021</v>
      </c>
      <c r="G892" s="4" t="s">
        <v>923</v>
      </c>
      <c r="H892" s="4" t="s">
        <v>8</v>
      </c>
      <c r="I892" s="4">
        <v>41</v>
      </c>
      <c r="J892" s="4" t="str" cm="1">
        <f t="array" ref="J892">_xlfn.IFS(I892&lt;30,"Young Adult", I892&lt;50,"Adult",I892 &gt;=50,"Seniors")</f>
        <v>Adult</v>
      </c>
      <c r="K892" s="4" t="s">
        <v>4</v>
      </c>
      <c r="L892" s="4">
        <v>3</v>
      </c>
      <c r="M892" s="5">
        <v>300</v>
      </c>
      <c r="N892">
        <f>L892*M892</f>
        <v>900</v>
      </c>
      <c r="O892" s="15">
        <f>N892*$R$3</f>
        <v>13.5</v>
      </c>
    </row>
    <row r="893" spans="1:15">
      <c r="A893" s="2">
        <v>892</v>
      </c>
      <c r="B893" s="4">
        <f>YEAR(F893)</f>
        <v>2023</v>
      </c>
      <c r="C893" s="4">
        <f>MONTH(F893)</f>
        <v>4</v>
      </c>
      <c r="D893" s="4">
        <f>DAY(F893)</f>
        <v>9</v>
      </c>
      <c r="E893" s="4" t="str">
        <f t="shared" si="13"/>
        <v>Sunday</v>
      </c>
      <c r="F893" s="3">
        <v>45025</v>
      </c>
      <c r="G893" s="4" t="s">
        <v>924</v>
      </c>
      <c r="H893" s="4" t="s">
        <v>8</v>
      </c>
      <c r="I893" s="4">
        <v>20</v>
      </c>
      <c r="J893" s="4" t="str" cm="1">
        <f t="array" ref="J893">_xlfn.IFS(I893&lt;30,"Young Adult", I893&lt;50,"Adult",I893 &gt;=50,"Seniors")</f>
        <v>Young Adult</v>
      </c>
      <c r="K893" s="4" t="s">
        <v>4</v>
      </c>
      <c r="L893" s="4">
        <v>1</v>
      </c>
      <c r="M893" s="5">
        <v>50</v>
      </c>
      <c r="N893">
        <f>L893*M893</f>
        <v>50</v>
      </c>
      <c r="O893" s="15">
        <f>N893*$R$3</f>
        <v>0.75</v>
      </c>
    </row>
    <row r="894" spans="1:15">
      <c r="A894" s="2">
        <v>893</v>
      </c>
      <c r="B894" s="4">
        <f>YEAR(F894)</f>
        <v>2023</v>
      </c>
      <c r="C894" s="4">
        <f>MONTH(F894)</f>
        <v>4</v>
      </c>
      <c r="D894" s="4">
        <f>DAY(F894)</f>
        <v>21</v>
      </c>
      <c r="E894" s="4" t="str">
        <f t="shared" si="13"/>
        <v>Friday</v>
      </c>
      <c r="F894" s="3">
        <v>45037</v>
      </c>
      <c r="G894" s="4" t="s">
        <v>925</v>
      </c>
      <c r="H894" s="4" t="s">
        <v>8</v>
      </c>
      <c r="I894" s="4">
        <v>49</v>
      </c>
      <c r="J894" s="4" t="str" cm="1">
        <f t="array" ref="J894">_xlfn.IFS(I894&lt;30,"Young Adult", I894&lt;50,"Adult",I894 &gt;=50,"Seniors")</f>
        <v>Adult</v>
      </c>
      <c r="K894" s="4" t="s">
        <v>4</v>
      </c>
      <c r="L894" s="4">
        <v>1</v>
      </c>
      <c r="M894" s="5">
        <v>50</v>
      </c>
      <c r="N894">
        <f>L894*M894</f>
        <v>50</v>
      </c>
      <c r="O894" s="15">
        <f>N894*$R$3</f>
        <v>0.75</v>
      </c>
    </row>
    <row r="895" spans="1:15">
      <c r="A895" s="2">
        <v>894</v>
      </c>
      <c r="B895" s="4">
        <f>YEAR(F895)</f>
        <v>2023</v>
      </c>
      <c r="C895" s="4">
        <f>MONTH(F895)</f>
        <v>9</v>
      </c>
      <c r="D895" s="4">
        <f>DAY(F895)</f>
        <v>5</v>
      </c>
      <c r="E895" s="4" t="str">
        <f t="shared" si="13"/>
        <v>Tuesday</v>
      </c>
      <c r="F895" s="3">
        <v>45174</v>
      </c>
      <c r="G895" s="4" t="s">
        <v>926</v>
      </c>
      <c r="H895" s="4" t="s">
        <v>8</v>
      </c>
      <c r="I895" s="4">
        <v>52</v>
      </c>
      <c r="J895" s="4" t="str" cm="1">
        <f t="array" ref="J895">_xlfn.IFS(I895&lt;30,"Young Adult", I895&lt;50,"Adult",I895 &gt;=50,"Seniors")</f>
        <v>Seniors</v>
      </c>
      <c r="K895" s="4" t="s">
        <v>4</v>
      </c>
      <c r="L895" s="4">
        <v>1</v>
      </c>
      <c r="M895" s="5">
        <v>30</v>
      </c>
      <c r="N895">
        <f>L895*M895</f>
        <v>30</v>
      </c>
      <c r="O895" s="15">
        <f>N895*$R$3</f>
        <v>0.44999999999999996</v>
      </c>
    </row>
    <row r="896" spans="1:15">
      <c r="A896" s="2">
        <v>895</v>
      </c>
      <c r="B896" s="4">
        <f>YEAR(F896)</f>
        <v>2023</v>
      </c>
      <c r="C896" s="4">
        <f>MONTH(F896)</f>
        <v>5</v>
      </c>
      <c r="D896" s="4">
        <f>DAY(F896)</f>
        <v>22</v>
      </c>
      <c r="E896" s="4" t="str">
        <f t="shared" si="13"/>
        <v>Monday</v>
      </c>
      <c r="F896" s="3">
        <v>45068</v>
      </c>
      <c r="G896" s="4" t="s">
        <v>927</v>
      </c>
      <c r="H896" s="4" t="s">
        <v>7</v>
      </c>
      <c r="I896" s="4">
        <v>55</v>
      </c>
      <c r="J896" s="4" t="str" cm="1">
        <f t="array" ref="J896">_xlfn.IFS(I896&lt;30,"Young Adult", I896&lt;50,"Adult",I896 &gt;=50,"Seniors")</f>
        <v>Seniors</v>
      </c>
      <c r="K896" s="4" t="s">
        <v>3</v>
      </c>
      <c r="L896" s="4">
        <v>4</v>
      </c>
      <c r="M896" s="5">
        <v>30</v>
      </c>
      <c r="N896">
        <f>L896*M896</f>
        <v>120</v>
      </c>
      <c r="O896" s="15">
        <f>N896*$R$3</f>
        <v>1.7999999999999998</v>
      </c>
    </row>
    <row r="897" spans="1:15">
      <c r="A897" s="2">
        <v>896</v>
      </c>
      <c r="B897" s="4">
        <f>YEAR(F897)</f>
        <v>2023</v>
      </c>
      <c r="C897" s="4">
        <f>MONTH(F897)</f>
        <v>10</v>
      </c>
      <c r="D897" s="4">
        <f>DAY(F897)</f>
        <v>29</v>
      </c>
      <c r="E897" s="4" t="str">
        <f t="shared" si="13"/>
        <v>Sunday</v>
      </c>
      <c r="F897" s="3">
        <v>45228</v>
      </c>
      <c r="G897" s="4" t="s">
        <v>928</v>
      </c>
      <c r="H897" s="4" t="s">
        <v>7</v>
      </c>
      <c r="I897" s="4">
        <v>30</v>
      </c>
      <c r="J897" s="4" t="str" cm="1">
        <f t="array" ref="J897">_xlfn.IFS(I897&lt;30,"Young Adult", I897&lt;50,"Adult",I897 &gt;=50,"Seniors")</f>
        <v>Adult</v>
      </c>
      <c r="K897" s="4" t="s">
        <v>4</v>
      </c>
      <c r="L897" s="4">
        <v>2</v>
      </c>
      <c r="M897" s="5">
        <v>25</v>
      </c>
      <c r="N897">
        <f>L897*M897</f>
        <v>50</v>
      </c>
      <c r="O897" s="15">
        <f>N897*$R$3</f>
        <v>0.75</v>
      </c>
    </row>
    <row r="898" spans="1:15">
      <c r="A898" s="2">
        <v>897</v>
      </c>
      <c r="B898" s="4">
        <f>YEAR(F898)</f>
        <v>2023</v>
      </c>
      <c r="C898" s="4">
        <f>MONTH(F898)</f>
        <v>9</v>
      </c>
      <c r="D898" s="4">
        <f>DAY(F898)</f>
        <v>26</v>
      </c>
      <c r="E898" s="4" t="str">
        <f t="shared" si="13"/>
        <v>Tuesday</v>
      </c>
      <c r="F898" s="3">
        <v>45195</v>
      </c>
      <c r="G898" s="4" t="s">
        <v>929</v>
      </c>
      <c r="H898" s="4" t="s">
        <v>7</v>
      </c>
      <c r="I898" s="4">
        <v>64</v>
      </c>
      <c r="J898" s="4" t="str" cm="1">
        <f t="array" ref="J898">_xlfn.IFS(I898&lt;30,"Young Adult", I898&lt;50,"Adult",I898 &gt;=50,"Seniors")</f>
        <v>Seniors</v>
      </c>
      <c r="K898" s="4" t="s">
        <v>4</v>
      </c>
      <c r="L898" s="4">
        <v>2</v>
      </c>
      <c r="M898" s="5">
        <v>50</v>
      </c>
      <c r="N898">
        <f>L898*M898</f>
        <v>100</v>
      </c>
      <c r="O898" s="15">
        <f>N898*$R$3</f>
        <v>1.5</v>
      </c>
    </row>
    <row r="899" spans="1:15">
      <c r="A899" s="2">
        <v>898</v>
      </c>
      <c r="B899" s="4">
        <f>YEAR(F899)</f>
        <v>2023</v>
      </c>
      <c r="C899" s="4">
        <f>MONTH(F899)</f>
        <v>11</v>
      </c>
      <c r="D899" s="4">
        <f>DAY(F899)</f>
        <v>2</v>
      </c>
      <c r="E899" s="4" t="str">
        <f t="shared" ref="E899:E962" si="14">TEXT(F899,"dddd")</f>
        <v>Thursday</v>
      </c>
      <c r="F899" s="3">
        <v>45232</v>
      </c>
      <c r="G899" s="4" t="s">
        <v>930</v>
      </c>
      <c r="H899" s="4" t="s">
        <v>7</v>
      </c>
      <c r="I899" s="4">
        <v>42</v>
      </c>
      <c r="J899" s="4" t="str" cm="1">
        <f t="array" ref="J899">_xlfn.IFS(I899&lt;30,"Young Adult", I899&lt;50,"Adult",I899 &gt;=50,"Seniors")</f>
        <v>Adult</v>
      </c>
      <c r="K899" s="4" t="s">
        <v>3</v>
      </c>
      <c r="L899" s="4">
        <v>3</v>
      </c>
      <c r="M899" s="5">
        <v>30</v>
      </c>
      <c r="N899">
        <f>L899*M899</f>
        <v>90</v>
      </c>
      <c r="O899" s="15">
        <f>N899*$R$3</f>
        <v>1.3499999999999999</v>
      </c>
    </row>
    <row r="900" spans="1:15">
      <c r="A900" s="2">
        <v>899</v>
      </c>
      <c r="B900" s="4">
        <f>YEAR(F900)</f>
        <v>2023</v>
      </c>
      <c r="C900" s="4">
        <f>MONTH(F900)</f>
        <v>5</v>
      </c>
      <c r="D900" s="4">
        <f>DAY(F900)</f>
        <v>25</v>
      </c>
      <c r="E900" s="4" t="str">
        <f t="shared" si="14"/>
        <v>Thursday</v>
      </c>
      <c r="F900" s="3">
        <v>45071</v>
      </c>
      <c r="G900" s="4" t="s">
        <v>931</v>
      </c>
      <c r="H900" s="4" t="s">
        <v>8</v>
      </c>
      <c r="I900" s="4">
        <v>26</v>
      </c>
      <c r="J900" s="4" t="str" cm="1">
        <f t="array" ref="J900">_xlfn.IFS(I900&lt;30,"Young Adult", I900&lt;50,"Adult",I900 &gt;=50,"Seniors")</f>
        <v>Young Adult</v>
      </c>
      <c r="K900" s="4" t="s">
        <v>3</v>
      </c>
      <c r="L900" s="4">
        <v>2</v>
      </c>
      <c r="M900" s="5">
        <v>300</v>
      </c>
      <c r="N900">
        <f>L900*M900</f>
        <v>600</v>
      </c>
      <c r="O900" s="15">
        <f>N900*$R$3</f>
        <v>9</v>
      </c>
    </row>
    <row r="901" spans="1:15">
      <c r="A901" s="2">
        <v>900</v>
      </c>
      <c r="B901" s="4">
        <f>YEAR(F901)</f>
        <v>2023</v>
      </c>
      <c r="C901" s="4">
        <f>MONTH(F901)</f>
        <v>2</v>
      </c>
      <c r="D901" s="4">
        <f>DAY(F901)</f>
        <v>21</v>
      </c>
      <c r="E901" s="4" t="str">
        <f t="shared" si="14"/>
        <v>Tuesday</v>
      </c>
      <c r="F901" s="3">
        <v>44978</v>
      </c>
      <c r="G901" s="4" t="s">
        <v>932</v>
      </c>
      <c r="H901" s="4" t="s">
        <v>8</v>
      </c>
      <c r="I901" s="4">
        <v>21</v>
      </c>
      <c r="J901" s="4" t="str" cm="1">
        <f t="array" ref="J901">_xlfn.IFS(I901&lt;30,"Young Adult", I901&lt;50,"Adult",I901 &gt;=50,"Seniors")</f>
        <v>Young Adult</v>
      </c>
      <c r="K901" s="4" t="s">
        <v>3</v>
      </c>
      <c r="L901" s="4">
        <v>2</v>
      </c>
      <c r="M901" s="5">
        <v>30</v>
      </c>
      <c r="N901">
        <f>L901*M901</f>
        <v>60</v>
      </c>
      <c r="O901" s="15">
        <f>N901*$R$3</f>
        <v>0.89999999999999991</v>
      </c>
    </row>
    <row r="902" spans="1:15">
      <c r="A902" s="2">
        <v>901</v>
      </c>
      <c r="B902" s="4">
        <f>YEAR(F902)</f>
        <v>2023</v>
      </c>
      <c r="C902" s="4">
        <f>MONTH(F902)</f>
        <v>4</v>
      </c>
      <c r="D902" s="4">
        <f>DAY(F902)</f>
        <v>10</v>
      </c>
      <c r="E902" s="4" t="str">
        <f t="shared" si="14"/>
        <v>Monday</v>
      </c>
      <c r="F902" s="3">
        <v>45026</v>
      </c>
      <c r="G902" s="4" t="s">
        <v>933</v>
      </c>
      <c r="H902" s="4" t="s">
        <v>8</v>
      </c>
      <c r="I902" s="4">
        <v>31</v>
      </c>
      <c r="J902" s="4" t="str" cm="1">
        <f t="array" ref="J902">_xlfn.IFS(I902&lt;30,"Young Adult", I902&lt;50,"Adult",I902 &gt;=50,"Seniors")</f>
        <v>Adult</v>
      </c>
      <c r="K902" s="4" t="s">
        <v>4</v>
      </c>
      <c r="L902" s="4">
        <v>1</v>
      </c>
      <c r="M902" s="5">
        <v>30</v>
      </c>
      <c r="N902">
        <f>L902*M902</f>
        <v>30</v>
      </c>
      <c r="O902" s="15">
        <f>N902*$R$3</f>
        <v>0.44999999999999996</v>
      </c>
    </row>
    <row r="903" spans="1:15">
      <c r="A903" s="2">
        <v>902</v>
      </c>
      <c r="B903" s="4">
        <f>YEAR(F903)</f>
        <v>2023</v>
      </c>
      <c r="C903" s="4">
        <f>MONTH(F903)</f>
        <v>6</v>
      </c>
      <c r="D903" s="4">
        <f>DAY(F903)</f>
        <v>1</v>
      </c>
      <c r="E903" s="4" t="str">
        <f t="shared" si="14"/>
        <v>Thursday</v>
      </c>
      <c r="F903" s="3">
        <v>45078</v>
      </c>
      <c r="G903" s="4" t="s">
        <v>934</v>
      </c>
      <c r="H903" s="4" t="s">
        <v>7</v>
      </c>
      <c r="I903" s="4">
        <v>54</v>
      </c>
      <c r="J903" s="4" t="str" cm="1">
        <f t="array" ref="J903">_xlfn.IFS(I903&lt;30,"Young Adult", I903&lt;50,"Adult",I903 &gt;=50,"Seniors")</f>
        <v>Seniors</v>
      </c>
      <c r="K903" s="4" t="s">
        <v>2</v>
      </c>
      <c r="L903" s="4">
        <v>1</v>
      </c>
      <c r="M903" s="5">
        <v>50</v>
      </c>
      <c r="N903">
        <f>L903*M903</f>
        <v>50</v>
      </c>
      <c r="O903" s="15">
        <f>N903*$R$3</f>
        <v>0.75</v>
      </c>
    </row>
    <row r="904" spans="1:15">
      <c r="A904" s="2">
        <v>903</v>
      </c>
      <c r="B904" s="4">
        <f>YEAR(F904)</f>
        <v>2023</v>
      </c>
      <c r="C904" s="4">
        <f>MONTH(F904)</f>
        <v>4</v>
      </c>
      <c r="D904" s="4">
        <f>DAY(F904)</f>
        <v>27</v>
      </c>
      <c r="E904" s="4" t="str">
        <f t="shared" si="14"/>
        <v>Thursday</v>
      </c>
      <c r="F904" s="3">
        <v>45043</v>
      </c>
      <c r="G904" s="4" t="s">
        <v>935</v>
      </c>
      <c r="H904" s="4" t="s">
        <v>7</v>
      </c>
      <c r="I904" s="4">
        <v>51</v>
      </c>
      <c r="J904" s="4" t="str" cm="1">
        <f t="array" ref="J904">_xlfn.IFS(I904&lt;30,"Young Adult", I904&lt;50,"Adult",I904 &gt;=50,"Seniors")</f>
        <v>Seniors</v>
      </c>
      <c r="K904" s="4" t="s">
        <v>2</v>
      </c>
      <c r="L904" s="4">
        <v>4</v>
      </c>
      <c r="M904" s="5">
        <v>50</v>
      </c>
      <c r="N904">
        <f>L904*M904</f>
        <v>200</v>
      </c>
      <c r="O904" s="15">
        <f>N904*$R$3</f>
        <v>3</v>
      </c>
    </row>
    <row r="905" spans="1:15">
      <c r="A905" s="2">
        <v>904</v>
      </c>
      <c r="B905" s="4">
        <f>YEAR(F905)</f>
        <v>2023</v>
      </c>
      <c r="C905" s="4">
        <f>MONTH(F905)</f>
        <v>7</v>
      </c>
      <c r="D905" s="4">
        <f>DAY(F905)</f>
        <v>4</v>
      </c>
      <c r="E905" s="4" t="str">
        <f t="shared" si="14"/>
        <v>Tuesday</v>
      </c>
      <c r="F905" s="3">
        <v>45111</v>
      </c>
      <c r="G905" s="4" t="s">
        <v>936</v>
      </c>
      <c r="H905" s="4" t="s">
        <v>8</v>
      </c>
      <c r="I905" s="4">
        <v>28</v>
      </c>
      <c r="J905" s="4" t="str" cm="1">
        <f t="array" ref="J905">_xlfn.IFS(I905&lt;30,"Young Adult", I905&lt;50,"Adult",I905 &gt;=50,"Seniors")</f>
        <v>Young Adult</v>
      </c>
      <c r="K905" s="4" t="s">
        <v>3</v>
      </c>
      <c r="L905" s="4">
        <v>1</v>
      </c>
      <c r="M905" s="5">
        <v>500</v>
      </c>
      <c r="N905">
        <f>L905*M905</f>
        <v>500</v>
      </c>
      <c r="O905" s="15">
        <f>N905*$R$3</f>
        <v>7.5</v>
      </c>
    </row>
    <row r="906" spans="1:15">
      <c r="A906" s="2">
        <v>905</v>
      </c>
      <c r="B906" s="4">
        <f>YEAR(F906)</f>
        <v>2023</v>
      </c>
      <c r="C906" s="4">
        <f>MONTH(F906)</f>
        <v>4</v>
      </c>
      <c r="D906" s="4">
        <f>DAY(F906)</f>
        <v>2</v>
      </c>
      <c r="E906" s="4" t="str">
        <f t="shared" si="14"/>
        <v>Sunday</v>
      </c>
      <c r="F906" s="3">
        <v>45018</v>
      </c>
      <c r="G906" s="4" t="s">
        <v>937</v>
      </c>
      <c r="H906" s="4" t="s">
        <v>8</v>
      </c>
      <c r="I906" s="4">
        <v>58</v>
      </c>
      <c r="J906" s="4" t="str" cm="1">
        <f t="array" ref="J906">_xlfn.IFS(I906&lt;30,"Young Adult", I906&lt;50,"Adult",I906 &gt;=50,"Seniors")</f>
        <v>Seniors</v>
      </c>
      <c r="K906" s="4" t="s">
        <v>2</v>
      </c>
      <c r="L906" s="4">
        <v>1</v>
      </c>
      <c r="M906" s="5">
        <v>300</v>
      </c>
      <c r="N906">
        <f>L906*M906</f>
        <v>300</v>
      </c>
      <c r="O906" s="15">
        <f>N906*$R$3</f>
        <v>4.5</v>
      </c>
    </row>
    <row r="907" spans="1:15">
      <c r="A907" s="2">
        <v>906</v>
      </c>
      <c r="B907" s="4">
        <f>YEAR(F907)</f>
        <v>2023</v>
      </c>
      <c r="C907" s="4">
        <f>MONTH(F907)</f>
        <v>6</v>
      </c>
      <c r="D907" s="4">
        <f>DAY(F907)</f>
        <v>4</v>
      </c>
      <c r="E907" s="4" t="str">
        <f t="shared" si="14"/>
        <v>Sunday</v>
      </c>
      <c r="F907" s="3">
        <v>45081</v>
      </c>
      <c r="G907" s="4" t="s">
        <v>938</v>
      </c>
      <c r="H907" s="4" t="s">
        <v>7</v>
      </c>
      <c r="I907" s="4">
        <v>20</v>
      </c>
      <c r="J907" s="4" t="str" cm="1">
        <f t="array" ref="J907">_xlfn.IFS(I907&lt;30,"Young Adult", I907&lt;50,"Adult",I907 &gt;=50,"Seniors")</f>
        <v>Young Adult</v>
      </c>
      <c r="K907" s="4" t="s">
        <v>3</v>
      </c>
      <c r="L907" s="4">
        <v>1</v>
      </c>
      <c r="M907" s="5">
        <v>50</v>
      </c>
      <c r="N907">
        <f>L907*M907</f>
        <v>50</v>
      </c>
      <c r="O907" s="15">
        <f>N907*$R$3</f>
        <v>0.75</v>
      </c>
    </row>
    <row r="908" spans="1:15">
      <c r="A908" s="2">
        <v>907</v>
      </c>
      <c r="B908" s="4">
        <f>YEAR(F908)</f>
        <v>2023</v>
      </c>
      <c r="C908" s="4">
        <f>MONTH(F908)</f>
        <v>1</v>
      </c>
      <c r="D908" s="4">
        <f>DAY(F908)</f>
        <v>8</v>
      </c>
      <c r="E908" s="4" t="str">
        <f t="shared" si="14"/>
        <v>Sunday</v>
      </c>
      <c r="F908" s="3">
        <v>44934</v>
      </c>
      <c r="G908" s="4" t="s">
        <v>939</v>
      </c>
      <c r="H908" s="4" t="s">
        <v>7</v>
      </c>
      <c r="I908" s="4">
        <v>45</v>
      </c>
      <c r="J908" s="4" t="str" cm="1">
        <f t="array" ref="J908">_xlfn.IFS(I908&lt;30,"Young Adult", I908&lt;50,"Adult",I908 &gt;=50,"Seniors")</f>
        <v>Adult</v>
      </c>
      <c r="K908" s="4" t="s">
        <v>4</v>
      </c>
      <c r="L908" s="4">
        <v>1</v>
      </c>
      <c r="M908" s="5">
        <v>25</v>
      </c>
      <c r="N908">
        <f>L908*M908</f>
        <v>25</v>
      </c>
      <c r="O908" s="15">
        <f>N908*$R$3</f>
        <v>0.375</v>
      </c>
    </row>
    <row r="909" spans="1:15">
      <c r="A909" s="2">
        <v>908</v>
      </c>
      <c r="B909" s="4">
        <f>YEAR(F909)</f>
        <v>2023</v>
      </c>
      <c r="C909" s="4">
        <f>MONTH(F909)</f>
        <v>12</v>
      </c>
      <c r="D909" s="4">
        <f>DAY(F909)</f>
        <v>29</v>
      </c>
      <c r="E909" s="4" t="str">
        <f t="shared" si="14"/>
        <v>Friday</v>
      </c>
      <c r="F909" s="3">
        <v>45289</v>
      </c>
      <c r="G909" s="4" t="s">
        <v>940</v>
      </c>
      <c r="H909" s="4" t="s">
        <v>8</v>
      </c>
      <c r="I909" s="4">
        <v>46</v>
      </c>
      <c r="J909" s="4" t="str" cm="1">
        <f t="array" ref="J909">_xlfn.IFS(I909&lt;30,"Young Adult", I909&lt;50,"Adult",I909 &gt;=50,"Seniors")</f>
        <v>Adult</v>
      </c>
      <c r="K909" s="4" t="s">
        <v>2</v>
      </c>
      <c r="L909" s="4">
        <v>4</v>
      </c>
      <c r="M909" s="5">
        <v>300</v>
      </c>
      <c r="N909">
        <f>L909*M909</f>
        <v>1200</v>
      </c>
      <c r="O909" s="15">
        <f>N909*$R$3</f>
        <v>18</v>
      </c>
    </row>
    <row r="910" spans="1:15">
      <c r="A910" s="2">
        <v>909</v>
      </c>
      <c r="B910" s="4">
        <f>YEAR(F910)</f>
        <v>2023</v>
      </c>
      <c r="C910" s="4">
        <f>MONTH(F910)</f>
        <v>10</v>
      </c>
      <c r="D910" s="4">
        <f>DAY(F910)</f>
        <v>1</v>
      </c>
      <c r="E910" s="4" t="str">
        <f t="shared" si="14"/>
        <v>Sunday</v>
      </c>
      <c r="F910" s="3">
        <v>45200</v>
      </c>
      <c r="G910" s="4" t="s">
        <v>941</v>
      </c>
      <c r="H910" s="4" t="s">
        <v>8</v>
      </c>
      <c r="I910" s="4">
        <v>26</v>
      </c>
      <c r="J910" s="4" t="str" cm="1">
        <f t="array" ref="J910">_xlfn.IFS(I910&lt;30,"Young Adult", I910&lt;50,"Adult",I910 &gt;=50,"Seniors")</f>
        <v>Young Adult</v>
      </c>
      <c r="K910" s="4" t="s">
        <v>4</v>
      </c>
      <c r="L910" s="4">
        <v>1</v>
      </c>
      <c r="M910" s="5">
        <v>300</v>
      </c>
      <c r="N910">
        <f>L910*M910</f>
        <v>300</v>
      </c>
      <c r="O910" s="15">
        <f>N910*$R$3</f>
        <v>4.5</v>
      </c>
    </row>
    <row r="911" spans="1:15">
      <c r="A911" s="2">
        <v>910</v>
      </c>
      <c r="B911" s="4">
        <f>YEAR(F911)</f>
        <v>2023</v>
      </c>
      <c r="C911" s="4">
        <f>MONTH(F911)</f>
        <v>3</v>
      </c>
      <c r="D911" s="4">
        <f>DAY(F911)</f>
        <v>6</v>
      </c>
      <c r="E911" s="4" t="str">
        <f t="shared" si="14"/>
        <v>Monday</v>
      </c>
      <c r="F911" s="3">
        <v>44991</v>
      </c>
      <c r="G911" s="4" t="s">
        <v>942</v>
      </c>
      <c r="H911" s="4" t="s">
        <v>7</v>
      </c>
      <c r="I911" s="4">
        <v>20</v>
      </c>
      <c r="J911" s="4" t="str" cm="1">
        <f t="array" ref="J911">_xlfn.IFS(I911&lt;30,"Young Adult", I911&lt;50,"Adult",I911 &gt;=50,"Seniors")</f>
        <v>Young Adult</v>
      </c>
      <c r="K911" s="4" t="s">
        <v>2</v>
      </c>
      <c r="L911" s="4">
        <v>3</v>
      </c>
      <c r="M911" s="5">
        <v>50</v>
      </c>
      <c r="N911">
        <f>L911*M911</f>
        <v>150</v>
      </c>
      <c r="O911" s="15">
        <f>N911*$R$3</f>
        <v>2.25</v>
      </c>
    </row>
    <row r="912" spans="1:15">
      <c r="A912" s="2">
        <v>911</v>
      </c>
      <c r="B912" s="4">
        <f>YEAR(F912)</f>
        <v>2023</v>
      </c>
      <c r="C912" s="4">
        <f>MONTH(F912)</f>
        <v>5</v>
      </c>
      <c r="D912" s="4">
        <f>DAY(F912)</f>
        <v>21</v>
      </c>
      <c r="E912" s="4" t="str">
        <f t="shared" si="14"/>
        <v>Sunday</v>
      </c>
      <c r="F912" s="3">
        <v>45067</v>
      </c>
      <c r="G912" s="4" t="s">
        <v>943</v>
      </c>
      <c r="H912" s="4" t="s">
        <v>8</v>
      </c>
      <c r="I912" s="4">
        <v>42</v>
      </c>
      <c r="J912" s="4" t="str" cm="1">
        <f t="array" ref="J912">_xlfn.IFS(I912&lt;30,"Young Adult", I912&lt;50,"Adult",I912 &gt;=50,"Seniors")</f>
        <v>Adult</v>
      </c>
      <c r="K912" s="4" t="s">
        <v>4</v>
      </c>
      <c r="L912" s="4">
        <v>3</v>
      </c>
      <c r="M912" s="5">
        <v>300</v>
      </c>
      <c r="N912">
        <f>L912*M912</f>
        <v>900</v>
      </c>
      <c r="O912" s="15">
        <f>N912*$R$3</f>
        <v>13.5</v>
      </c>
    </row>
    <row r="913" spans="1:15">
      <c r="A913" s="2">
        <v>912</v>
      </c>
      <c r="B913" s="4">
        <f>YEAR(F913)</f>
        <v>2023</v>
      </c>
      <c r="C913" s="4">
        <f>MONTH(F913)</f>
        <v>1</v>
      </c>
      <c r="D913" s="4">
        <f>DAY(F913)</f>
        <v>24</v>
      </c>
      <c r="E913" s="4" t="str">
        <f t="shared" si="14"/>
        <v>Tuesday</v>
      </c>
      <c r="F913" s="3">
        <v>44950</v>
      </c>
      <c r="G913" s="4" t="s">
        <v>944</v>
      </c>
      <c r="H913" s="4" t="s">
        <v>8</v>
      </c>
      <c r="I913" s="4">
        <v>51</v>
      </c>
      <c r="J913" s="4" t="str" cm="1">
        <f t="array" ref="J913">_xlfn.IFS(I913&lt;30,"Young Adult", I913&lt;50,"Adult",I913 &gt;=50,"Seniors")</f>
        <v>Seniors</v>
      </c>
      <c r="K913" s="4" t="s">
        <v>2</v>
      </c>
      <c r="L913" s="4">
        <v>3</v>
      </c>
      <c r="M913" s="5">
        <v>50</v>
      </c>
      <c r="N913">
        <f>L913*M913</f>
        <v>150</v>
      </c>
      <c r="O913" s="15">
        <f>N913*$R$3</f>
        <v>2.25</v>
      </c>
    </row>
    <row r="914" spans="1:15">
      <c r="A914" s="2">
        <v>913</v>
      </c>
      <c r="B914" s="4">
        <f>YEAR(F914)</f>
        <v>2023</v>
      </c>
      <c r="C914" s="4">
        <f>MONTH(F914)</f>
        <v>1</v>
      </c>
      <c r="D914" s="4">
        <f>DAY(F914)</f>
        <v>28</v>
      </c>
      <c r="E914" s="4" t="str">
        <f t="shared" si="14"/>
        <v>Saturday</v>
      </c>
      <c r="F914" s="3">
        <v>44954</v>
      </c>
      <c r="G914" s="4" t="s">
        <v>945</v>
      </c>
      <c r="H914" s="4" t="s">
        <v>8</v>
      </c>
      <c r="I914" s="4">
        <v>29</v>
      </c>
      <c r="J914" s="4" t="str" cm="1">
        <f t="array" ref="J914">_xlfn.IFS(I914&lt;30,"Young Adult", I914&lt;50,"Adult",I914 &gt;=50,"Seniors")</f>
        <v>Young Adult</v>
      </c>
      <c r="K914" s="4" t="s">
        <v>4</v>
      </c>
      <c r="L914" s="4">
        <v>3</v>
      </c>
      <c r="M914" s="5">
        <v>30</v>
      </c>
      <c r="N914">
        <f>L914*M914</f>
        <v>90</v>
      </c>
      <c r="O914" s="15">
        <f>N914*$R$3</f>
        <v>1.3499999999999999</v>
      </c>
    </row>
    <row r="915" spans="1:15">
      <c r="A915" s="2">
        <v>914</v>
      </c>
      <c r="B915" s="4">
        <f>YEAR(F915)</f>
        <v>2023</v>
      </c>
      <c r="C915" s="4">
        <f>MONTH(F915)</f>
        <v>10</v>
      </c>
      <c r="D915" s="4">
        <f>DAY(F915)</f>
        <v>11</v>
      </c>
      <c r="E915" s="4" t="str">
        <f t="shared" si="14"/>
        <v>Wednesday</v>
      </c>
      <c r="F915" s="3">
        <v>45210</v>
      </c>
      <c r="G915" s="4" t="s">
        <v>946</v>
      </c>
      <c r="H915" s="4" t="s">
        <v>7</v>
      </c>
      <c r="I915" s="4">
        <v>59</v>
      </c>
      <c r="J915" s="4" t="str" cm="1">
        <f t="array" ref="J915">_xlfn.IFS(I915&lt;30,"Young Adult", I915&lt;50,"Adult",I915 &gt;=50,"Seniors")</f>
        <v>Seniors</v>
      </c>
      <c r="K915" s="4" t="s">
        <v>4</v>
      </c>
      <c r="L915" s="4">
        <v>1</v>
      </c>
      <c r="M915" s="5">
        <v>500</v>
      </c>
      <c r="N915">
        <f>L915*M915</f>
        <v>500</v>
      </c>
      <c r="O915" s="15">
        <f>N915*$R$3</f>
        <v>7.5</v>
      </c>
    </row>
    <row r="916" spans="1:15">
      <c r="A916" s="2">
        <v>915</v>
      </c>
      <c r="B916" s="4">
        <f>YEAR(F916)</f>
        <v>2023</v>
      </c>
      <c r="C916" s="4">
        <f>MONTH(F916)</f>
        <v>5</v>
      </c>
      <c r="D916" s="4">
        <f>DAY(F916)</f>
        <v>30</v>
      </c>
      <c r="E916" s="4" t="str">
        <f t="shared" si="14"/>
        <v>Tuesday</v>
      </c>
      <c r="F916" s="3">
        <v>45076</v>
      </c>
      <c r="G916" s="4" t="s">
        <v>947</v>
      </c>
      <c r="H916" s="4" t="s">
        <v>7</v>
      </c>
      <c r="I916" s="4">
        <v>26</v>
      </c>
      <c r="J916" s="4" t="str" cm="1">
        <f t="array" ref="J916">_xlfn.IFS(I916&lt;30,"Young Adult", I916&lt;50,"Adult",I916 &gt;=50,"Seniors")</f>
        <v>Young Adult</v>
      </c>
      <c r="K916" s="4" t="s">
        <v>2</v>
      </c>
      <c r="L916" s="4">
        <v>3</v>
      </c>
      <c r="M916" s="5">
        <v>30</v>
      </c>
      <c r="N916">
        <f>L916*M916</f>
        <v>90</v>
      </c>
      <c r="O916" s="15">
        <f>N916*$R$3</f>
        <v>1.3499999999999999</v>
      </c>
    </row>
    <row r="917" spans="1:15">
      <c r="A917" s="2">
        <v>916</v>
      </c>
      <c r="B917" s="4">
        <f>YEAR(F917)</f>
        <v>2023</v>
      </c>
      <c r="C917" s="4">
        <f>MONTH(F917)</f>
        <v>12</v>
      </c>
      <c r="D917" s="4">
        <f>DAY(F917)</f>
        <v>24</v>
      </c>
      <c r="E917" s="4" t="str">
        <f t="shared" si="14"/>
        <v>Sunday</v>
      </c>
      <c r="F917" s="3">
        <v>45284</v>
      </c>
      <c r="G917" s="4" t="s">
        <v>948</v>
      </c>
      <c r="H917" s="4" t="s">
        <v>7</v>
      </c>
      <c r="I917" s="4">
        <v>32</v>
      </c>
      <c r="J917" s="4" t="str" cm="1">
        <f t="array" ref="J917">_xlfn.IFS(I917&lt;30,"Young Adult", I917&lt;50,"Adult",I917 &gt;=50,"Seniors")</f>
        <v>Adult</v>
      </c>
      <c r="K917" s="4" t="s">
        <v>4</v>
      </c>
      <c r="L917" s="4">
        <v>1</v>
      </c>
      <c r="M917" s="5">
        <v>50</v>
      </c>
      <c r="N917">
        <f>L917*M917</f>
        <v>50</v>
      </c>
      <c r="O917" s="15">
        <f>N917*$R$3</f>
        <v>0.75</v>
      </c>
    </row>
    <row r="918" spans="1:15">
      <c r="A918" s="2">
        <v>917</v>
      </c>
      <c r="B918" s="4">
        <f>YEAR(F918)</f>
        <v>2023</v>
      </c>
      <c r="C918" s="4">
        <f>MONTH(F918)</f>
        <v>3</v>
      </c>
      <c r="D918" s="4">
        <f>DAY(F918)</f>
        <v>6</v>
      </c>
      <c r="E918" s="4" t="str">
        <f t="shared" si="14"/>
        <v>Monday</v>
      </c>
      <c r="F918" s="3">
        <v>44991</v>
      </c>
      <c r="G918" s="4" t="s">
        <v>949</v>
      </c>
      <c r="H918" s="4" t="s">
        <v>7</v>
      </c>
      <c r="I918" s="4">
        <v>57</v>
      </c>
      <c r="J918" s="4" t="str" cm="1">
        <f t="array" ref="J918">_xlfn.IFS(I918&lt;30,"Young Adult", I918&lt;50,"Adult",I918 &gt;=50,"Seniors")</f>
        <v>Seniors</v>
      </c>
      <c r="K918" s="4" t="s">
        <v>4</v>
      </c>
      <c r="L918" s="4">
        <v>4</v>
      </c>
      <c r="M918" s="5">
        <v>50</v>
      </c>
      <c r="N918">
        <f>L918*M918</f>
        <v>200</v>
      </c>
      <c r="O918" s="15">
        <f>N918*$R$3</f>
        <v>3</v>
      </c>
    </row>
    <row r="919" spans="1:15">
      <c r="A919" s="2">
        <v>918</v>
      </c>
      <c r="B919" s="4">
        <f>YEAR(F919)</f>
        <v>2023</v>
      </c>
      <c r="C919" s="4">
        <f>MONTH(F919)</f>
        <v>11</v>
      </c>
      <c r="D919" s="4">
        <f>DAY(F919)</f>
        <v>23</v>
      </c>
      <c r="E919" s="4" t="str">
        <f t="shared" si="14"/>
        <v>Thursday</v>
      </c>
      <c r="F919" s="3">
        <v>45253</v>
      </c>
      <c r="G919" s="4" t="s">
        <v>950</v>
      </c>
      <c r="H919" s="4" t="s">
        <v>7</v>
      </c>
      <c r="I919" s="4">
        <v>42</v>
      </c>
      <c r="J919" s="4" t="str" cm="1">
        <f t="array" ref="J919">_xlfn.IFS(I919&lt;30,"Young Adult", I919&lt;50,"Adult",I919 &gt;=50,"Seniors")</f>
        <v>Adult</v>
      </c>
      <c r="K919" s="4" t="s">
        <v>4</v>
      </c>
      <c r="L919" s="4">
        <v>3</v>
      </c>
      <c r="M919" s="5">
        <v>30</v>
      </c>
      <c r="N919">
        <f>L919*M919</f>
        <v>90</v>
      </c>
      <c r="O919" s="15">
        <f>N919*$R$3</f>
        <v>1.3499999999999999</v>
      </c>
    </row>
    <row r="920" spans="1:15">
      <c r="A920" s="2">
        <v>919</v>
      </c>
      <c r="B920" s="4">
        <f>YEAR(F920)</f>
        <v>2023</v>
      </c>
      <c r="C920" s="4">
        <f>MONTH(F920)</f>
        <v>9</v>
      </c>
      <c r="D920" s="4">
        <f>DAY(F920)</f>
        <v>9</v>
      </c>
      <c r="E920" s="4" t="str">
        <f t="shared" si="14"/>
        <v>Saturday</v>
      </c>
      <c r="F920" s="3">
        <v>45178</v>
      </c>
      <c r="G920" s="4" t="s">
        <v>951</v>
      </c>
      <c r="H920" s="4" t="s">
        <v>7</v>
      </c>
      <c r="I920" s="4">
        <v>22</v>
      </c>
      <c r="J920" s="4" t="str" cm="1">
        <f t="array" ref="J920">_xlfn.IFS(I920&lt;30,"Young Adult", I920&lt;50,"Adult",I920 &gt;=50,"Seniors")</f>
        <v>Young Adult</v>
      </c>
      <c r="K920" s="4" t="s">
        <v>2</v>
      </c>
      <c r="L920" s="4">
        <v>2</v>
      </c>
      <c r="M920" s="5">
        <v>25</v>
      </c>
      <c r="N920">
        <f>L920*M920</f>
        <v>50</v>
      </c>
      <c r="O920" s="15">
        <f>N920*$R$3</f>
        <v>0.75</v>
      </c>
    </row>
    <row r="921" spans="1:15">
      <c r="A921" s="2">
        <v>920</v>
      </c>
      <c r="B921" s="4">
        <f>YEAR(F921)</f>
        <v>2023</v>
      </c>
      <c r="C921" s="4">
        <f>MONTH(F921)</f>
        <v>2</v>
      </c>
      <c r="D921" s="4">
        <f>DAY(F921)</f>
        <v>22</v>
      </c>
      <c r="E921" s="4" t="str">
        <f t="shared" si="14"/>
        <v>Wednesday</v>
      </c>
      <c r="F921" s="3">
        <v>44979</v>
      </c>
      <c r="G921" s="4" t="s">
        <v>952</v>
      </c>
      <c r="H921" s="4" t="s">
        <v>7</v>
      </c>
      <c r="I921" s="4">
        <v>28</v>
      </c>
      <c r="J921" s="4" t="str" cm="1">
        <f t="array" ref="J921">_xlfn.IFS(I921&lt;30,"Young Adult", I921&lt;50,"Adult",I921 &gt;=50,"Seniors")</f>
        <v>Young Adult</v>
      </c>
      <c r="K921" s="4" t="s">
        <v>2</v>
      </c>
      <c r="L921" s="4">
        <v>3</v>
      </c>
      <c r="M921" s="5">
        <v>25</v>
      </c>
      <c r="N921">
        <f>L921*M921</f>
        <v>75</v>
      </c>
      <c r="O921" s="15">
        <f>N921*$R$3</f>
        <v>1.125</v>
      </c>
    </row>
    <row r="922" spans="1:15">
      <c r="A922" s="2">
        <v>921</v>
      </c>
      <c r="B922" s="4">
        <f>YEAR(F922)</f>
        <v>2023</v>
      </c>
      <c r="C922" s="4">
        <f>MONTH(F922)</f>
        <v>1</v>
      </c>
      <c r="D922" s="4">
        <f>DAY(F922)</f>
        <v>7</v>
      </c>
      <c r="E922" s="4" t="str">
        <f t="shared" si="14"/>
        <v>Saturday</v>
      </c>
      <c r="F922" s="3">
        <v>44933</v>
      </c>
      <c r="G922" s="4" t="s">
        <v>953</v>
      </c>
      <c r="H922" s="4" t="s">
        <v>8</v>
      </c>
      <c r="I922" s="4">
        <v>51</v>
      </c>
      <c r="J922" s="4" t="str" cm="1">
        <f t="array" ref="J922">_xlfn.IFS(I922&lt;30,"Young Adult", I922&lt;50,"Adult",I922 &gt;=50,"Seniors")</f>
        <v>Seniors</v>
      </c>
      <c r="K922" s="4" t="s">
        <v>4</v>
      </c>
      <c r="L922" s="4">
        <v>3</v>
      </c>
      <c r="M922" s="5">
        <v>25</v>
      </c>
      <c r="N922">
        <f>L922*M922</f>
        <v>75</v>
      </c>
      <c r="O922" s="15">
        <f>N922*$R$3</f>
        <v>1.125</v>
      </c>
    </row>
    <row r="923" spans="1:15">
      <c r="A923" s="2">
        <v>922</v>
      </c>
      <c r="B923" s="4">
        <f>YEAR(F923)</f>
        <v>2023</v>
      </c>
      <c r="C923" s="4">
        <f>MONTH(F923)</f>
        <v>10</v>
      </c>
      <c r="D923" s="4">
        <f>DAY(F923)</f>
        <v>21</v>
      </c>
      <c r="E923" s="4" t="str">
        <f t="shared" si="14"/>
        <v>Saturday</v>
      </c>
      <c r="F923" s="3">
        <v>45220</v>
      </c>
      <c r="G923" s="4" t="s">
        <v>954</v>
      </c>
      <c r="H923" s="4" t="s">
        <v>8</v>
      </c>
      <c r="I923" s="4">
        <v>41</v>
      </c>
      <c r="J923" s="4" t="str" cm="1">
        <f t="array" ref="J923">_xlfn.IFS(I923&lt;30,"Young Adult", I923&lt;50,"Adult",I923 &gt;=50,"Seniors")</f>
        <v>Adult</v>
      </c>
      <c r="K923" s="4" t="s">
        <v>4</v>
      </c>
      <c r="L923" s="4">
        <v>1</v>
      </c>
      <c r="M923" s="5">
        <v>50</v>
      </c>
      <c r="N923">
        <f>L923*M923</f>
        <v>50</v>
      </c>
      <c r="O923" s="15">
        <f>N923*$R$3</f>
        <v>0.75</v>
      </c>
    </row>
    <row r="924" spans="1:15">
      <c r="A924" s="2">
        <v>923</v>
      </c>
      <c r="B924" s="4">
        <f>YEAR(F924)</f>
        <v>2023</v>
      </c>
      <c r="C924" s="4">
        <f>MONTH(F924)</f>
        <v>5</v>
      </c>
      <c r="D924" s="4">
        <f>DAY(F924)</f>
        <v>26</v>
      </c>
      <c r="E924" s="4" t="str">
        <f t="shared" si="14"/>
        <v>Friday</v>
      </c>
      <c r="F924" s="3">
        <v>45072</v>
      </c>
      <c r="G924" s="4" t="s">
        <v>955</v>
      </c>
      <c r="H924" s="4" t="s">
        <v>8</v>
      </c>
      <c r="I924" s="4">
        <v>32</v>
      </c>
      <c r="J924" s="4" t="str" cm="1">
        <f t="array" ref="J924">_xlfn.IFS(I924&lt;30,"Young Adult", I924&lt;50,"Adult",I924 &gt;=50,"Seniors")</f>
        <v>Adult</v>
      </c>
      <c r="K924" s="4" t="s">
        <v>2</v>
      </c>
      <c r="L924" s="4">
        <v>3</v>
      </c>
      <c r="M924" s="5">
        <v>300</v>
      </c>
      <c r="N924">
        <f>L924*M924</f>
        <v>900</v>
      </c>
      <c r="O924" s="15">
        <f>N924*$R$3</f>
        <v>13.5</v>
      </c>
    </row>
    <row r="925" spans="1:15">
      <c r="A925" s="2">
        <v>924</v>
      </c>
      <c r="B925" s="4">
        <f>YEAR(F925)</f>
        <v>2023</v>
      </c>
      <c r="C925" s="4">
        <f>MONTH(F925)</f>
        <v>8</v>
      </c>
      <c r="D925" s="4">
        <f>DAY(F925)</f>
        <v>29</v>
      </c>
      <c r="E925" s="4" t="str">
        <f t="shared" si="14"/>
        <v>Tuesday</v>
      </c>
      <c r="F925" s="3">
        <v>45167</v>
      </c>
      <c r="G925" s="4" t="s">
        <v>956</v>
      </c>
      <c r="H925" s="4" t="s">
        <v>8</v>
      </c>
      <c r="I925" s="4">
        <v>55</v>
      </c>
      <c r="J925" s="4" t="str" cm="1">
        <f t="array" ref="J925">_xlfn.IFS(I925&lt;30,"Young Adult", I925&lt;50,"Adult",I925 &gt;=50,"Seniors")</f>
        <v>Seniors</v>
      </c>
      <c r="K925" s="4" t="s">
        <v>2</v>
      </c>
      <c r="L925" s="4">
        <v>2</v>
      </c>
      <c r="M925" s="5">
        <v>50</v>
      </c>
      <c r="N925">
        <f>L925*M925</f>
        <v>100</v>
      </c>
      <c r="O925" s="15">
        <f>N925*$R$3</f>
        <v>1.5</v>
      </c>
    </row>
    <row r="926" spans="1:15">
      <c r="A926" s="2">
        <v>925</v>
      </c>
      <c r="B926" s="4">
        <f>YEAR(F926)</f>
        <v>2023</v>
      </c>
      <c r="C926" s="4">
        <f>MONTH(F926)</f>
        <v>9</v>
      </c>
      <c r="D926" s="4">
        <f>DAY(F926)</f>
        <v>3</v>
      </c>
      <c r="E926" s="4" t="str">
        <f t="shared" si="14"/>
        <v>Sunday</v>
      </c>
      <c r="F926" s="3">
        <v>45172</v>
      </c>
      <c r="G926" s="4" t="s">
        <v>957</v>
      </c>
      <c r="H926" s="4" t="s">
        <v>8</v>
      </c>
      <c r="I926" s="4">
        <v>25</v>
      </c>
      <c r="J926" s="4" t="str" cm="1">
        <f t="array" ref="J926">_xlfn.IFS(I926&lt;30,"Young Adult", I926&lt;50,"Adult",I926 &gt;=50,"Seniors")</f>
        <v>Young Adult</v>
      </c>
      <c r="K926" s="4" t="s">
        <v>4</v>
      </c>
      <c r="L926" s="4">
        <v>1</v>
      </c>
      <c r="M926" s="5">
        <v>300</v>
      </c>
      <c r="N926">
        <f>L926*M926</f>
        <v>300</v>
      </c>
      <c r="O926" s="15">
        <f>N926*$R$3</f>
        <v>4.5</v>
      </c>
    </row>
    <row r="927" spans="1:15">
      <c r="A927" s="2">
        <v>926</v>
      </c>
      <c r="B927" s="4">
        <f>YEAR(F927)</f>
        <v>2023</v>
      </c>
      <c r="C927" s="4">
        <f>MONTH(F927)</f>
        <v>8</v>
      </c>
      <c r="D927" s="4">
        <f>DAY(F927)</f>
        <v>14</v>
      </c>
      <c r="E927" s="4" t="str">
        <f t="shared" si="14"/>
        <v>Monday</v>
      </c>
      <c r="F927" s="3">
        <v>45152</v>
      </c>
      <c r="G927" s="4" t="s">
        <v>958</v>
      </c>
      <c r="H927" s="4" t="s">
        <v>8</v>
      </c>
      <c r="I927" s="4">
        <v>22</v>
      </c>
      <c r="J927" s="4" t="str" cm="1">
        <f t="array" ref="J927">_xlfn.IFS(I927&lt;30,"Young Adult", I927&lt;50,"Adult",I927 &gt;=50,"Seniors")</f>
        <v>Young Adult</v>
      </c>
      <c r="K927" s="4" t="s">
        <v>4</v>
      </c>
      <c r="L927" s="4">
        <v>1</v>
      </c>
      <c r="M927" s="5">
        <v>30</v>
      </c>
      <c r="N927">
        <f>L927*M927</f>
        <v>30</v>
      </c>
      <c r="O927" s="15">
        <f>N927*$R$3</f>
        <v>0.44999999999999996</v>
      </c>
    </row>
    <row r="928" spans="1:15">
      <c r="A928" s="2">
        <v>927</v>
      </c>
      <c r="B928" s="4">
        <f>YEAR(F928)</f>
        <v>2023</v>
      </c>
      <c r="C928" s="4">
        <f>MONTH(F928)</f>
        <v>6</v>
      </c>
      <c r="D928" s="4">
        <f>DAY(F928)</f>
        <v>24</v>
      </c>
      <c r="E928" s="4" t="str">
        <f t="shared" si="14"/>
        <v>Saturday</v>
      </c>
      <c r="F928" s="3">
        <v>45101</v>
      </c>
      <c r="G928" s="4" t="s">
        <v>959</v>
      </c>
      <c r="H928" s="4" t="s">
        <v>8</v>
      </c>
      <c r="I928" s="4">
        <v>43</v>
      </c>
      <c r="J928" s="4" t="str" cm="1">
        <f t="array" ref="J928">_xlfn.IFS(I928&lt;30,"Young Adult", I928&lt;50,"Adult",I928 &gt;=50,"Seniors")</f>
        <v>Adult</v>
      </c>
      <c r="K928" s="4" t="s">
        <v>4</v>
      </c>
      <c r="L928" s="4">
        <v>4</v>
      </c>
      <c r="M928" s="5">
        <v>500</v>
      </c>
      <c r="N928">
        <f>L928*M928</f>
        <v>2000</v>
      </c>
      <c r="O928" s="15">
        <f>N928*$R$3</f>
        <v>30</v>
      </c>
    </row>
    <row r="929" spans="1:15">
      <c r="A929" s="2">
        <v>928</v>
      </c>
      <c r="B929" s="4">
        <f>YEAR(F929)</f>
        <v>2023</v>
      </c>
      <c r="C929" s="4">
        <f>MONTH(F929)</f>
        <v>4</v>
      </c>
      <c r="D929" s="4">
        <f>DAY(F929)</f>
        <v>5</v>
      </c>
      <c r="E929" s="4" t="str">
        <f t="shared" si="14"/>
        <v>Wednesday</v>
      </c>
      <c r="F929" s="3">
        <v>45021</v>
      </c>
      <c r="G929" s="4" t="s">
        <v>960</v>
      </c>
      <c r="H929" s="4" t="s">
        <v>7</v>
      </c>
      <c r="I929" s="4">
        <v>35</v>
      </c>
      <c r="J929" s="4" t="str" cm="1">
        <f t="array" ref="J929">_xlfn.IFS(I929&lt;30,"Young Adult", I929&lt;50,"Adult",I929 &gt;=50,"Seniors")</f>
        <v>Adult</v>
      </c>
      <c r="K929" s="4" t="s">
        <v>3</v>
      </c>
      <c r="L929" s="4">
        <v>4</v>
      </c>
      <c r="M929" s="5">
        <v>300</v>
      </c>
      <c r="N929">
        <f>L929*M929</f>
        <v>1200</v>
      </c>
      <c r="O929" s="15">
        <f>N929*$R$3</f>
        <v>18</v>
      </c>
    </row>
    <row r="930" spans="1:15">
      <c r="A930" s="2">
        <v>929</v>
      </c>
      <c r="B930" s="4">
        <f>YEAR(F930)</f>
        <v>2023</v>
      </c>
      <c r="C930" s="4">
        <f>MONTH(F930)</f>
        <v>1</v>
      </c>
      <c r="D930" s="4">
        <f>DAY(F930)</f>
        <v>27</v>
      </c>
      <c r="E930" s="4" t="str">
        <f t="shared" si="14"/>
        <v>Friday</v>
      </c>
      <c r="F930" s="3">
        <v>44953</v>
      </c>
      <c r="G930" s="4" t="s">
        <v>961</v>
      </c>
      <c r="H930" s="4" t="s">
        <v>7</v>
      </c>
      <c r="I930" s="4">
        <v>23</v>
      </c>
      <c r="J930" s="4" t="str" cm="1">
        <f t="array" ref="J930">_xlfn.IFS(I930&lt;30,"Young Adult", I930&lt;50,"Adult",I930 &gt;=50,"Seniors")</f>
        <v>Young Adult</v>
      </c>
      <c r="K930" s="4" t="s">
        <v>2</v>
      </c>
      <c r="L930" s="4">
        <v>3</v>
      </c>
      <c r="M930" s="5">
        <v>25</v>
      </c>
      <c r="N930">
        <f>L930*M930</f>
        <v>75</v>
      </c>
      <c r="O930" s="15">
        <f>N930*$R$3</f>
        <v>1.125</v>
      </c>
    </row>
    <row r="931" spans="1:15">
      <c r="A931" s="2">
        <v>930</v>
      </c>
      <c r="B931" s="4">
        <f>YEAR(F931)</f>
        <v>2023</v>
      </c>
      <c r="C931" s="4">
        <f>MONTH(F931)</f>
        <v>5</v>
      </c>
      <c r="D931" s="4">
        <f>DAY(F931)</f>
        <v>10</v>
      </c>
      <c r="E931" s="4" t="str">
        <f t="shared" si="14"/>
        <v>Wednesday</v>
      </c>
      <c r="F931" s="3">
        <v>45056</v>
      </c>
      <c r="G931" s="4" t="s">
        <v>962</v>
      </c>
      <c r="H931" s="4" t="s">
        <v>8</v>
      </c>
      <c r="I931" s="4">
        <v>54</v>
      </c>
      <c r="J931" s="4" t="str" cm="1">
        <f t="array" ref="J931">_xlfn.IFS(I931&lt;30,"Young Adult", I931&lt;50,"Adult",I931 &gt;=50,"Seniors")</f>
        <v>Seniors</v>
      </c>
      <c r="K931" s="4" t="s">
        <v>3</v>
      </c>
      <c r="L931" s="4">
        <v>4</v>
      </c>
      <c r="M931" s="5">
        <v>50</v>
      </c>
      <c r="N931">
        <f>L931*M931</f>
        <v>200</v>
      </c>
      <c r="O931" s="15">
        <f>N931*$R$3</f>
        <v>3</v>
      </c>
    </row>
    <row r="932" spans="1:15">
      <c r="A932" s="2">
        <v>931</v>
      </c>
      <c r="B932" s="4">
        <f>YEAR(F932)</f>
        <v>2023</v>
      </c>
      <c r="C932" s="4">
        <f>MONTH(F932)</f>
        <v>9</v>
      </c>
      <c r="D932" s="4">
        <f>DAY(F932)</f>
        <v>2</v>
      </c>
      <c r="E932" s="4" t="str">
        <f t="shared" si="14"/>
        <v>Saturday</v>
      </c>
      <c r="F932" s="3">
        <v>45171</v>
      </c>
      <c r="G932" s="4" t="s">
        <v>963</v>
      </c>
      <c r="H932" s="4" t="s">
        <v>8</v>
      </c>
      <c r="I932" s="4">
        <v>30</v>
      </c>
      <c r="J932" s="4" t="str" cm="1">
        <f t="array" ref="J932">_xlfn.IFS(I932&lt;30,"Young Adult", I932&lt;50,"Adult",I932 &gt;=50,"Seniors")</f>
        <v>Adult</v>
      </c>
      <c r="K932" s="4" t="s">
        <v>2</v>
      </c>
      <c r="L932" s="4">
        <v>4</v>
      </c>
      <c r="M932" s="5">
        <v>30</v>
      </c>
      <c r="N932">
        <f>L932*M932</f>
        <v>120</v>
      </c>
      <c r="O932" s="15">
        <f>N932*$R$3</f>
        <v>1.7999999999999998</v>
      </c>
    </row>
    <row r="933" spans="1:15">
      <c r="A933" s="2">
        <v>932</v>
      </c>
      <c r="B933" s="4">
        <f>YEAR(F933)</f>
        <v>2023</v>
      </c>
      <c r="C933" s="4">
        <f>MONTH(F933)</f>
        <v>2</v>
      </c>
      <c r="D933" s="4">
        <f>DAY(F933)</f>
        <v>28</v>
      </c>
      <c r="E933" s="4" t="str">
        <f t="shared" si="14"/>
        <v>Tuesday</v>
      </c>
      <c r="F933" s="3">
        <v>44985</v>
      </c>
      <c r="G933" s="4" t="s">
        <v>964</v>
      </c>
      <c r="H933" s="4" t="s">
        <v>7</v>
      </c>
      <c r="I933" s="4">
        <v>45</v>
      </c>
      <c r="J933" s="4" t="str" cm="1">
        <f t="array" ref="J933">_xlfn.IFS(I933&lt;30,"Young Adult", I933&lt;50,"Adult",I933 &gt;=50,"Seniors")</f>
        <v>Adult</v>
      </c>
      <c r="K933" s="4" t="s">
        <v>2</v>
      </c>
      <c r="L933" s="4">
        <v>4</v>
      </c>
      <c r="M933" s="5">
        <v>25</v>
      </c>
      <c r="N933">
        <f>L933*M933</f>
        <v>100</v>
      </c>
      <c r="O933" s="15">
        <f>N933*$R$3</f>
        <v>1.5</v>
      </c>
    </row>
    <row r="934" spans="1:15">
      <c r="A934" s="2">
        <v>933</v>
      </c>
      <c r="B934" s="4">
        <f>YEAR(F934)</f>
        <v>2023</v>
      </c>
      <c r="C934" s="4">
        <f>MONTH(F934)</f>
        <v>2</v>
      </c>
      <c r="D934" s="4">
        <f>DAY(F934)</f>
        <v>3</v>
      </c>
      <c r="E934" s="4" t="str">
        <f t="shared" si="14"/>
        <v>Friday</v>
      </c>
      <c r="F934" s="3">
        <v>44960</v>
      </c>
      <c r="G934" s="4" t="s">
        <v>965</v>
      </c>
      <c r="H934" s="4" t="s">
        <v>8</v>
      </c>
      <c r="I934" s="4">
        <v>22</v>
      </c>
      <c r="J934" s="4" t="str" cm="1">
        <f t="array" ref="J934">_xlfn.IFS(I934&lt;30,"Young Adult", I934&lt;50,"Adult",I934 &gt;=50,"Seniors")</f>
        <v>Young Adult</v>
      </c>
      <c r="K934" s="4" t="s">
        <v>2</v>
      </c>
      <c r="L934" s="4">
        <v>1</v>
      </c>
      <c r="M934" s="5">
        <v>30</v>
      </c>
      <c r="N934">
        <f>L934*M934</f>
        <v>30</v>
      </c>
      <c r="O934" s="15">
        <f>N934*$R$3</f>
        <v>0.44999999999999996</v>
      </c>
    </row>
    <row r="935" spans="1:15">
      <c r="A935" s="2">
        <v>934</v>
      </c>
      <c r="B935" s="4">
        <f>YEAR(F935)</f>
        <v>2023</v>
      </c>
      <c r="C935" s="4">
        <f>MONTH(F935)</f>
        <v>7</v>
      </c>
      <c r="D935" s="4">
        <f>DAY(F935)</f>
        <v>25</v>
      </c>
      <c r="E935" s="4" t="str">
        <f t="shared" si="14"/>
        <v>Tuesday</v>
      </c>
      <c r="F935" s="3">
        <v>45132</v>
      </c>
      <c r="G935" s="4" t="s">
        <v>966</v>
      </c>
      <c r="H935" s="4" t="s">
        <v>8</v>
      </c>
      <c r="I935" s="4">
        <v>30</v>
      </c>
      <c r="J935" s="4" t="str" cm="1">
        <f t="array" ref="J935">_xlfn.IFS(I935&lt;30,"Young Adult", I935&lt;50,"Adult",I935 &gt;=50,"Seniors")</f>
        <v>Adult</v>
      </c>
      <c r="K935" s="4" t="s">
        <v>2</v>
      </c>
      <c r="L935" s="4">
        <v>1</v>
      </c>
      <c r="M935" s="5">
        <v>500</v>
      </c>
      <c r="N935">
        <f>L935*M935</f>
        <v>500</v>
      </c>
      <c r="O935" s="15">
        <f>N935*$R$3</f>
        <v>7.5</v>
      </c>
    </row>
    <row r="936" spans="1:15">
      <c r="A936" s="2">
        <v>935</v>
      </c>
      <c r="B936" s="4">
        <f>YEAR(F936)</f>
        <v>2023</v>
      </c>
      <c r="C936" s="4">
        <f>MONTH(F936)</f>
        <v>9</v>
      </c>
      <c r="D936" s="4">
        <f>DAY(F936)</f>
        <v>9</v>
      </c>
      <c r="E936" s="4" t="str">
        <f t="shared" si="14"/>
        <v>Saturday</v>
      </c>
      <c r="F936" s="3">
        <v>45178</v>
      </c>
      <c r="G936" s="4" t="s">
        <v>967</v>
      </c>
      <c r="H936" s="4" t="s">
        <v>7</v>
      </c>
      <c r="I936" s="4">
        <v>34</v>
      </c>
      <c r="J936" s="4" t="str" cm="1">
        <f t="array" ref="J936">_xlfn.IFS(I936&lt;30,"Young Adult", I936&lt;50,"Adult",I936 &gt;=50,"Seniors")</f>
        <v>Adult</v>
      </c>
      <c r="K936" s="4" t="s">
        <v>2</v>
      </c>
      <c r="L936" s="4">
        <v>1</v>
      </c>
      <c r="M936" s="5">
        <v>50</v>
      </c>
      <c r="N936">
        <f>L936*M936</f>
        <v>50</v>
      </c>
      <c r="O936" s="15">
        <f>N936*$R$3</f>
        <v>0.75</v>
      </c>
    </row>
    <row r="937" spans="1:15">
      <c r="A937" s="2">
        <v>936</v>
      </c>
      <c r="B937" s="4">
        <f>YEAR(F937)</f>
        <v>2023</v>
      </c>
      <c r="C937" s="4">
        <f>MONTH(F937)</f>
        <v>2</v>
      </c>
      <c r="D937" s="4">
        <f>DAY(F937)</f>
        <v>7</v>
      </c>
      <c r="E937" s="4" t="str">
        <f t="shared" si="14"/>
        <v>Tuesday</v>
      </c>
      <c r="F937" s="3">
        <v>44964</v>
      </c>
      <c r="G937" s="4" t="s">
        <v>968</v>
      </c>
      <c r="H937" s="4" t="s">
        <v>8</v>
      </c>
      <c r="I937" s="4">
        <v>57</v>
      </c>
      <c r="J937" s="4" t="str" cm="1">
        <f t="array" ref="J937">_xlfn.IFS(I937&lt;30,"Young Adult", I937&lt;50,"Adult",I937 &gt;=50,"Seniors")</f>
        <v>Seniors</v>
      </c>
      <c r="K937" s="4" t="s">
        <v>2</v>
      </c>
      <c r="L937" s="4">
        <v>4</v>
      </c>
      <c r="M937" s="5">
        <v>50</v>
      </c>
      <c r="N937">
        <f>L937*M937</f>
        <v>200</v>
      </c>
      <c r="O937" s="15">
        <f>N937*$R$3</f>
        <v>3</v>
      </c>
    </row>
    <row r="938" spans="1:15">
      <c r="A938" s="2">
        <v>937</v>
      </c>
      <c r="B938" s="4">
        <f>YEAR(F938)</f>
        <v>2023</v>
      </c>
      <c r="C938" s="4">
        <f>MONTH(F938)</f>
        <v>10</v>
      </c>
      <c r="D938" s="4">
        <f>DAY(F938)</f>
        <v>23</v>
      </c>
      <c r="E938" s="4" t="str">
        <f t="shared" si="14"/>
        <v>Monday</v>
      </c>
      <c r="F938" s="3">
        <v>45222</v>
      </c>
      <c r="G938" s="4" t="s">
        <v>969</v>
      </c>
      <c r="H938" s="4" t="s">
        <v>7</v>
      </c>
      <c r="I938" s="4">
        <v>62</v>
      </c>
      <c r="J938" s="4" t="str" cm="1">
        <f t="array" ref="J938">_xlfn.IFS(I938&lt;30,"Young Adult", I938&lt;50,"Adult",I938 &gt;=50,"Seniors")</f>
        <v>Seniors</v>
      </c>
      <c r="K938" s="4" t="s">
        <v>2</v>
      </c>
      <c r="L938" s="4">
        <v>1</v>
      </c>
      <c r="M938" s="5">
        <v>500</v>
      </c>
      <c r="N938">
        <f>L938*M938</f>
        <v>500</v>
      </c>
      <c r="O938" s="15">
        <f>N938*$R$3</f>
        <v>7.5</v>
      </c>
    </row>
    <row r="939" spans="1:15">
      <c r="A939" s="2">
        <v>938</v>
      </c>
      <c r="B939" s="4">
        <f>YEAR(F939)</f>
        <v>2023</v>
      </c>
      <c r="C939" s="4">
        <f>MONTH(F939)</f>
        <v>11</v>
      </c>
      <c r="D939" s="4">
        <f>DAY(F939)</f>
        <v>19</v>
      </c>
      <c r="E939" s="4" t="str">
        <f t="shared" si="14"/>
        <v>Sunday</v>
      </c>
      <c r="F939" s="3">
        <v>45249</v>
      </c>
      <c r="G939" s="4" t="s">
        <v>970</v>
      </c>
      <c r="H939" s="4" t="s">
        <v>8</v>
      </c>
      <c r="I939" s="4">
        <v>49</v>
      </c>
      <c r="J939" s="4" t="str" cm="1">
        <f t="array" ref="J939">_xlfn.IFS(I939&lt;30,"Young Adult", I939&lt;50,"Adult",I939 &gt;=50,"Seniors")</f>
        <v>Adult</v>
      </c>
      <c r="K939" s="4" t="s">
        <v>3</v>
      </c>
      <c r="L939" s="4">
        <v>4</v>
      </c>
      <c r="M939" s="5">
        <v>50</v>
      </c>
      <c r="N939">
        <f>L939*M939</f>
        <v>200</v>
      </c>
      <c r="O939" s="15">
        <f>N939*$R$3</f>
        <v>3</v>
      </c>
    </row>
    <row r="940" spans="1:15">
      <c r="A940" s="2">
        <v>939</v>
      </c>
      <c r="B940" s="4">
        <f>YEAR(F940)</f>
        <v>2023</v>
      </c>
      <c r="C940" s="4">
        <f>MONTH(F940)</f>
        <v>12</v>
      </c>
      <c r="D940" s="4">
        <f>DAY(F940)</f>
        <v>18</v>
      </c>
      <c r="E940" s="4" t="str">
        <f t="shared" si="14"/>
        <v>Monday</v>
      </c>
      <c r="F940" s="3">
        <v>45278</v>
      </c>
      <c r="G940" s="4" t="s">
        <v>971</v>
      </c>
      <c r="H940" s="4" t="s">
        <v>7</v>
      </c>
      <c r="I940" s="4">
        <v>46</v>
      </c>
      <c r="J940" s="4" t="str" cm="1">
        <f t="array" ref="J940">_xlfn.IFS(I940&lt;30,"Young Adult", I940&lt;50,"Adult",I940 &gt;=50,"Seniors")</f>
        <v>Adult</v>
      </c>
      <c r="K940" s="4" t="s">
        <v>4</v>
      </c>
      <c r="L940" s="4">
        <v>1</v>
      </c>
      <c r="M940" s="5">
        <v>300</v>
      </c>
      <c r="N940">
        <f>L940*M940</f>
        <v>300</v>
      </c>
      <c r="O940" s="15">
        <f>N940*$R$3</f>
        <v>4.5</v>
      </c>
    </row>
    <row r="941" spans="1:15">
      <c r="A941" s="2">
        <v>940</v>
      </c>
      <c r="B941" s="4">
        <f>YEAR(F941)</f>
        <v>2023</v>
      </c>
      <c r="C941" s="4">
        <f>MONTH(F941)</f>
        <v>1</v>
      </c>
      <c r="D941" s="4">
        <f>DAY(F941)</f>
        <v>28</v>
      </c>
      <c r="E941" s="4" t="str">
        <f t="shared" si="14"/>
        <v>Saturday</v>
      </c>
      <c r="F941" s="3">
        <v>44954</v>
      </c>
      <c r="G941" s="4" t="s">
        <v>972</v>
      </c>
      <c r="H941" s="4" t="s">
        <v>7</v>
      </c>
      <c r="I941" s="4">
        <v>20</v>
      </c>
      <c r="J941" s="4" t="str" cm="1">
        <f t="array" ref="J941">_xlfn.IFS(I941&lt;30,"Young Adult", I941&lt;50,"Adult",I941 &gt;=50,"Seniors")</f>
        <v>Young Adult</v>
      </c>
      <c r="K941" s="4" t="s">
        <v>4</v>
      </c>
      <c r="L941" s="4">
        <v>1</v>
      </c>
      <c r="M941" s="5">
        <v>30</v>
      </c>
      <c r="N941">
        <f>L941*M941</f>
        <v>30</v>
      </c>
      <c r="O941" s="15">
        <f>N941*$R$3</f>
        <v>0.44999999999999996</v>
      </c>
    </row>
    <row r="942" spans="1:15">
      <c r="A942" s="2">
        <v>941</v>
      </c>
      <c r="B942" s="4">
        <f>YEAR(F942)</f>
        <v>2023</v>
      </c>
      <c r="C942" s="4">
        <f>MONTH(F942)</f>
        <v>3</v>
      </c>
      <c r="D942" s="4">
        <f>DAY(F942)</f>
        <v>19</v>
      </c>
      <c r="E942" s="4" t="str">
        <f t="shared" si="14"/>
        <v>Sunday</v>
      </c>
      <c r="F942" s="3">
        <v>45004</v>
      </c>
      <c r="G942" s="4" t="s">
        <v>973</v>
      </c>
      <c r="H942" s="4" t="s">
        <v>7</v>
      </c>
      <c r="I942" s="4">
        <v>57</v>
      </c>
      <c r="J942" s="4" t="str" cm="1">
        <f t="array" ref="J942">_xlfn.IFS(I942&lt;30,"Young Adult", I942&lt;50,"Adult",I942 &gt;=50,"Seniors")</f>
        <v>Seniors</v>
      </c>
      <c r="K942" s="4" t="s">
        <v>3</v>
      </c>
      <c r="L942" s="4">
        <v>2</v>
      </c>
      <c r="M942" s="5">
        <v>25</v>
      </c>
      <c r="N942">
        <f>L942*M942</f>
        <v>50</v>
      </c>
      <c r="O942" s="15">
        <f>N942*$R$3</f>
        <v>0.75</v>
      </c>
    </row>
    <row r="943" spans="1:15">
      <c r="A943" s="2">
        <v>942</v>
      </c>
      <c r="B943" s="4">
        <f>YEAR(F943)</f>
        <v>2023</v>
      </c>
      <c r="C943" s="4">
        <f>MONTH(F943)</f>
        <v>3</v>
      </c>
      <c r="D943" s="4">
        <f>DAY(F943)</f>
        <v>18</v>
      </c>
      <c r="E943" s="4" t="str">
        <f t="shared" si="14"/>
        <v>Saturday</v>
      </c>
      <c r="F943" s="3">
        <v>45003</v>
      </c>
      <c r="G943" s="4" t="s">
        <v>974</v>
      </c>
      <c r="H943" s="4" t="s">
        <v>8</v>
      </c>
      <c r="I943" s="4">
        <v>51</v>
      </c>
      <c r="J943" s="4" t="str" cm="1">
        <f t="array" ref="J943">_xlfn.IFS(I943&lt;30,"Young Adult", I943&lt;50,"Adult",I943 &gt;=50,"Seniors")</f>
        <v>Seniors</v>
      </c>
      <c r="K943" s="4" t="s">
        <v>3</v>
      </c>
      <c r="L943" s="4">
        <v>3</v>
      </c>
      <c r="M943" s="5">
        <v>500</v>
      </c>
      <c r="N943">
        <f>L943*M943</f>
        <v>1500</v>
      </c>
      <c r="O943" s="15">
        <f>N943*$R$3</f>
        <v>22.5</v>
      </c>
    </row>
    <row r="944" spans="1:15">
      <c r="A944" s="2">
        <v>943</v>
      </c>
      <c r="B944" s="4">
        <f>YEAR(F944)</f>
        <v>2023</v>
      </c>
      <c r="C944" s="4">
        <f>MONTH(F944)</f>
        <v>10</v>
      </c>
      <c r="D944" s="4">
        <f>DAY(F944)</f>
        <v>16</v>
      </c>
      <c r="E944" s="4" t="str">
        <f t="shared" si="14"/>
        <v>Monday</v>
      </c>
      <c r="F944" s="3">
        <v>45215</v>
      </c>
      <c r="G944" s="4" t="s">
        <v>975</v>
      </c>
      <c r="H944" s="4" t="s">
        <v>7</v>
      </c>
      <c r="I944" s="4">
        <v>57</v>
      </c>
      <c r="J944" s="4" t="str" cm="1">
        <f t="array" ref="J944">_xlfn.IFS(I944&lt;30,"Young Adult", I944&lt;50,"Adult",I944 &gt;=50,"Seniors")</f>
        <v>Seniors</v>
      </c>
      <c r="K944" s="4" t="s">
        <v>3</v>
      </c>
      <c r="L944" s="4">
        <v>4</v>
      </c>
      <c r="M944" s="5">
        <v>300</v>
      </c>
      <c r="N944">
        <f>L944*M944</f>
        <v>1200</v>
      </c>
      <c r="O944" s="15">
        <f>N944*$R$3</f>
        <v>18</v>
      </c>
    </row>
    <row r="945" spans="1:15">
      <c r="A945" s="2">
        <v>944</v>
      </c>
      <c r="B945" s="4">
        <f>YEAR(F945)</f>
        <v>2023</v>
      </c>
      <c r="C945" s="4">
        <f>MONTH(F945)</f>
        <v>6</v>
      </c>
      <c r="D945" s="4">
        <f>DAY(F945)</f>
        <v>5</v>
      </c>
      <c r="E945" s="4" t="str">
        <f t="shared" si="14"/>
        <v>Monday</v>
      </c>
      <c r="F945" s="3">
        <v>45082</v>
      </c>
      <c r="G945" s="4" t="s">
        <v>976</v>
      </c>
      <c r="H945" s="4" t="s">
        <v>8</v>
      </c>
      <c r="I945" s="4">
        <v>44</v>
      </c>
      <c r="J945" s="4" t="str" cm="1">
        <f t="array" ref="J945">_xlfn.IFS(I945&lt;30,"Young Adult", I945&lt;50,"Adult",I945 &gt;=50,"Seniors")</f>
        <v>Adult</v>
      </c>
      <c r="K945" s="4" t="s">
        <v>3</v>
      </c>
      <c r="L945" s="4">
        <v>2</v>
      </c>
      <c r="M945" s="5">
        <v>25</v>
      </c>
      <c r="N945">
        <f>L945*M945</f>
        <v>50</v>
      </c>
      <c r="O945" s="15">
        <f>N945*$R$3</f>
        <v>0.75</v>
      </c>
    </row>
    <row r="946" spans="1:15">
      <c r="A946" s="2">
        <v>945</v>
      </c>
      <c r="B946" s="4">
        <f>YEAR(F946)</f>
        <v>2023</v>
      </c>
      <c r="C946" s="4">
        <f>MONTH(F946)</f>
        <v>2</v>
      </c>
      <c r="D946" s="4">
        <f>DAY(F946)</f>
        <v>13</v>
      </c>
      <c r="E946" s="4" t="str">
        <f t="shared" si="14"/>
        <v>Monday</v>
      </c>
      <c r="F946" s="3">
        <v>44970</v>
      </c>
      <c r="G946" s="4" t="s">
        <v>977</v>
      </c>
      <c r="H946" s="4" t="s">
        <v>8</v>
      </c>
      <c r="I946" s="4">
        <v>30</v>
      </c>
      <c r="J946" s="4" t="str" cm="1">
        <f t="array" ref="J946">_xlfn.IFS(I946&lt;30,"Young Adult", I946&lt;50,"Adult",I946 &gt;=50,"Seniors")</f>
        <v>Adult</v>
      </c>
      <c r="K946" s="4" t="s">
        <v>2</v>
      </c>
      <c r="L946" s="4">
        <v>1</v>
      </c>
      <c r="M946" s="5">
        <v>25</v>
      </c>
      <c r="N946">
        <f>L946*M946</f>
        <v>25</v>
      </c>
      <c r="O946" s="15">
        <f>N946*$R$3</f>
        <v>0.375</v>
      </c>
    </row>
    <row r="947" spans="1:15">
      <c r="A947" s="2">
        <v>946</v>
      </c>
      <c r="B947" s="4">
        <f>YEAR(F947)</f>
        <v>2023</v>
      </c>
      <c r="C947" s="4">
        <f>MONTH(F947)</f>
        <v>5</v>
      </c>
      <c r="D947" s="4">
        <f>DAY(F947)</f>
        <v>8</v>
      </c>
      <c r="E947" s="4" t="str">
        <f t="shared" si="14"/>
        <v>Monday</v>
      </c>
      <c r="F947" s="3">
        <v>45054</v>
      </c>
      <c r="G947" s="4" t="s">
        <v>978</v>
      </c>
      <c r="H947" s="4" t="s">
        <v>8</v>
      </c>
      <c r="I947" s="4">
        <v>62</v>
      </c>
      <c r="J947" s="4" t="str" cm="1">
        <f t="array" ref="J947">_xlfn.IFS(I947&lt;30,"Young Adult", I947&lt;50,"Adult",I947 &gt;=50,"Seniors")</f>
        <v>Seniors</v>
      </c>
      <c r="K947" s="4" t="s">
        <v>4</v>
      </c>
      <c r="L947" s="4">
        <v>4</v>
      </c>
      <c r="M947" s="5">
        <v>500</v>
      </c>
      <c r="N947">
        <f>L947*M947</f>
        <v>2000</v>
      </c>
      <c r="O947" s="15">
        <f>N947*$R$3</f>
        <v>30</v>
      </c>
    </row>
    <row r="948" spans="1:15">
      <c r="A948" s="2">
        <v>947</v>
      </c>
      <c r="B948" s="4">
        <f>YEAR(F948)</f>
        <v>2023</v>
      </c>
      <c r="C948" s="4">
        <f>MONTH(F948)</f>
        <v>3</v>
      </c>
      <c r="D948" s="4">
        <f>DAY(F948)</f>
        <v>2</v>
      </c>
      <c r="E948" s="4" t="str">
        <f t="shared" si="14"/>
        <v>Thursday</v>
      </c>
      <c r="F948" s="3">
        <v>44987</v>
      </c>
      <c r="G948" s="4" t="s">
        <v>979</v>
      </c>
      <c r="H948" s="4" t="s">
        <v>8</v>
      </c>
      <c r="I948" s="4">
        <v>50</v>
      </c>
      <c r="J948" s="4" t="str" cm="1">
        <f t="array" ref="J948">_xlfn.IFS(I948&lt;30,"Young Adult", I948&lt;50,"Adult",I948 &gt;=50,"Seniors")</f>
        <v>Seniors</v>
      </c>
      <c r="K948" s="4" t="s">
        <v>2</v>
      </c>
      <c r="L948" s="4">
        <v>1</v>
      </c>
      <c r="M948" s="5">
        <v>300</v>
      </c>
      <c r="N948">
        <f>L948*M948</f>
        <v>300</v>
      </c>
      <c r="O948" s="15">
        <f>N948*$R$3</f>
        <v>4.5</v>
      </c>
    </row>
    <row r="949" spans="1:15">
      <c r="A949" s="2">
        <v>948</v>
      </c>
      <c r="B949" s="4">
        <f>YEAR(F949)</f>
        <v>2023</v>
      </c>
      <c r="C949" s="4">
        <f>MONTH(F949)</f>
        <v>10</v>
      </c>
      <c r="D949" s="4">
        <f>DAY(F949)</f>
        <v>13</v>
      </c>
      <c r="E949" s="4" t="str">
        <f t="shared" si="14"/>
        <v>Friday</v>
      </c>
      <c r="F949" s="3">
        <v>45212</v>
      </c>
      <c r="G949" s="4" t="s">
        <v>980</v>
      </c>
      <c r="H949" s="4" t="s">
        <v>7</v>
      </c>
      <c r="I949" s="4">
        <v>23</v>
      </c>
      <c r="J949" s="4" t="str" cm="1">
        <f t="array" ref="J949">_xlfn.IFS(I949&lt;30,"Young Adult", I949&lt;50,"Adult",I949 &gt;=50,"Seniors")</f>
        <v>Young Adult</v>
      </c>
      <c r="K949" s="4" t="s">
        <v>4</v>
      </c>
      <c r="L949" s="4">
        <v>3</v>
      </c>
      <c r="M949" s="5">
        <v>25</v>
      </c>
      <c r="N949">
        <f>L949*M949</f>
        <v>75</v>
      </c>
      <c r="O949" s="15">
        <f>N949*$R$3</f>
        <v>1.125</v>
      </c>
    </row>
    <row r="950" spans="1:15">
      <c r="A950" s="2">
        <v>949</v>
      </c>
      <c r="B950" s="4">
        <f>YEAR(F950)</f>
        <v>2023</v>
      </c>
      <c r="C950" s="4">
        <f>MONTH(F950)</f>
        <v>8</v>
      </c>
      <c r="D950" s="4">
        <f>DAY(F950)</f>
        <v>2</v>
      </c>
      <c r="E950" s="4" t="str">
        <f t="shared" si="14"/>
        <v>Wednesday</v>
      </c>
      <c r="F950" s="3">
        <v>45140</v>
      </c>
      <c r="G950" s="4" t="s">
        <v>981</v>
      </c>
      <c r="H950" s="4" t="s">
        <v>7</v>
      </c>
      <c r="I950" s="4">
        <v>41</v>
      </c>
      <c r="J950" s="4" t="str" cm="1">
        <f t="array" ref="J950">_xlfn.IFS(I950&lt;30,"Young Adult", I950&lt;50,"Adult",I950 &gt;=50,"Seniors")</f>
        <v>Adult</v>
      </c>
      <c r="K950" s="4" t="s">
        <v>4</v>
      </c>
      <c r="L950" s="4">
        <v>2</v>
      </c>
      <c r="M950" s="5">
        <v>25</v>
      </c>
      <c r="N950">
        <f>L950*M950</f>
        <v>50</v>
      </c>
      <c r="O950" s="15">
        <f>N950*$R$3</f>
        <v>0.75</v>
      </c>
    </row>
    <row r="951" spans="1:15">
      <c r="A951" s="2">
        <v>950</v>
      </c>
      <c r="B951" s="4">
        <f>YEAR(F951)</f>
        <v>2023</v>
      </c>
      <c r="C951" s="4">
        <f>MONTH(F951)</f>
        <v>11</v>
      </c>
      <c r="D951" s="4">
        <f>DAY(F951)</f>
        <v>7</v>
      </c>
      <c r="E951" s="4" t="str">
        <f t="shared" si="14"/>
        <v>Tuesday</v>
      </c>
      <c r="F951" s="3">
        <v>45237</v>
      </c>
      <c r="G951" s="4" t="s">
        <v>982</v>
      </c>
      <c r="H951" s="4" t="s">
        <v>8</v>
      </c>
      <c r="I951" s="4">
        <v>36</v>
      </c>
      <c r="J951" s="4" t="str" cm="1">
        <f t="array" ref="J951">_xlfn.IFS(I951&lt;30,"Young Adult", I951&lt;50,"Adult",I951 &gt;=50,"Seniors")</f>
        <v>Adult</v>
      </c>
      <c r="K951" s="4" t="s">
        <v>3</v>
      </c>
      <c r="L951" s="4">
        <v>3</v>
      </c>
      <c r="M951" s="5">
        <v>300</v>
      </c>
      <c r="N951">
        <f>L951*M951</f>
        <v>900</v>
      </c>
      <c r="O951" s="15">
        <f>N951*$R$3</f>
        <v>13.5</v>
      </c>
    </row>
    <row r="952" spans="1:15">
      <c r="A952" s="2">
        <v>951</v>
      </c>
      <c r="B952" s="4">
        <f>YEAR(F952)</f>
        <v>2023</v>
      </c>
      <c r="C952" s="4">
        <f>MONTH(F952)</f>
        <v>11</v>
      </c>
      <c r="D952" s="4">
        <f>DAY(F952)</f>
        <v>2</v>
      </c>
      <c r="E952" s="4" t="str">
        <f t="shared" si="14"/>
        <v>Thursday</v>
      </c>
      <c r="F952" s="3">
        <v>45232</v>
      </c>
      <c r="G952" s="4" t="s">
        <v>983</v>
      </c>
      <c r="H952" s="4" t="s">
        <v>8</v>
      </c>
      <c r="I952" s="4">
        <v>33</v>
      </c>
      <c r="J952" s="4" t="str" cm="1">
        <f t="array" ref="J952">_xlfn.IFS(I952&lt;30,"Young Adult", I952&lt;50,"Adult",I952 &gt;=50,"Seniors")</f>
        <v>Adult</v>
      </c>
      <c r="K952" s="4" t="s">
        <v>2</v>
      </c>
      <c r="L952" s="4">
        <v>2</v>
      </c>
      <c r="M952" s="5">
        <v>50</v>
      </c>
      <c r="N952">
        <f>L952*M952</f>
        <v>100</v>
      </c>
      <c r="O952" s="15">
        <f>N952*$R$3</f>
        <v>1.5</v>
      </c>
    </row>
    <row r="953" spans="1:15">
      <c r="A953" s="2">
        <v>952</v>
      </c>
      <c r="B953" s="4">
        <f>YEAR(F953)</f>
        <v>2023</v>
      </c>
      <c r="C953" s="4">
        <f>MONTH(F953)</f>
        <v>11</v>
      </c>
      <c r="D953" s="4">
        <f>DAY(F953)</f>
        <v>13</v>
      </c>
      <c r="E953" s="4" t="str">
        <f t="shared" si="14"/>
        <v>Monday</v>
      </c>
      <c r="F953" s="3">
        <v>45243</v>
      </c>
      <c r="G953" s="4" t="s">
        <v>984</v>
      </c>
      <c r="H953" s="4" t="s">
        <v>7</v>
      </c>
      <c r="I953" s="4">
        <v>57</v>
      </c>
      <c r="J953" s="4" t="str" cm="1">
        <f t="array" ref="J953">_xlfn.IFS(I953&lt;30,"Young Adult", I953&lt;50,"Adult",I953 &gt;=50,"Seniors")</f>
        <v>Seniors</v>
      </c>
      <c r="K953" s="4" t="s">
        <v>3</v>
      </c>
      <c r="L953" s="4">
        <v>1</v>
      </c>
      <c r="M953" s="5">
        <v>25</v>
      </c>
      <c r="N953">
        <f>L953*M953</f>
        <v>25</v>
      </c>
      <c r="O953" s="15">
        <f>N953*$R$3</f>
        <v>0.375</v>
      </c>
    </row>
    <row r="954" spans="1:15">
      <c r="A954" s="2">
        <v>953</v>
      </c>
      <c r="B954" s="4">
        <f>YEAR(F954)</f>
        <v>2023</v>
      </c>
      <c r="C954" s="4">
        <f>MONTH(F954)</f>
        <v>4</v>
      </c>
      <c r="D954" s="4">
        <f>DAY(F954)</f>
        <v>26</v>
      </c>
      <c r="E954" s="4" t="str">
        <f t="shared" si="14"/>
        <v>Wednesday</v>
      </c>
      <c r="F954" s="3">
        <v>45042</v>
      </c>
      <c r="G954" s="4" t="s">
        <v>985</v>
      </c>
      <c r="H954" s="4" t="s">
        <v>8</v>
      </c>
      <c r="I954" s="4">
        <v>45</v>
      </c>
      <c r="J954" s="4" t="str" cm="1">
        <f t="array" ref="J954">_xlfn.IFS(I954&lt;30,"Young Adult", I954&lt;50,"Adult",I954 &gt;=50,"Seniors")</f>
        <v>Adult</v>
      </c>
      <c r="K954" s="4" t="s">
        <v>2</v>
      </c>
      <c r="L954" s="4">
        <v>3</v>
      </c>
      <c r="M954" s="5">
        <v>30</v>
      </c>
      <c r="N954">
        <f>L954*M954</f>
        <v>90</v>
      </c>
      <c r="O954" s="15">
        <f>N954*$R$3</f>
        <v>1.3499999999999999</v>
      </c>
    </row>
    <row r="955" spans="1:15">
      <c r="A955" s="2">
        <v>954</v>
      </c>
      <c r="B955" s="4">
        <f>YEAR(F955)</f>
        <v>2023</v>
      </c>
      <c r="C955" s="4">
        <f>MONTH(F955)</f>
        <v>9</v>
      </c>
      <c r="D955" s="4">
        <f>DAY(F955)</f>
        <v>25</v>
      </c>
      <c r="E955" s="4" t="str">
        <f t="shared" si="14"/>
        <v>Monday</v>
      </c>
      <c r="F955" s="3">
        <v>45194</v>
      </c>
      <c r="G955" s="4" t="s">
        <v>986</v>
      </c>
      <c r="H955" s="4" t="s">
        <v>7</v>
      </c>
      <c r="I955" s="4">
        <v>50</v>
      </c>
      <c r="J955" s="4" t="str" cm="1">
        <f t="array" ref="J955">_xlfn.IFS(I955&lt;30,"Young Adult", I955&lt;50,"Adult",I955 &gt;=50,"Seniors")</f>
        <v>Seniors</v>
      </c>
      <c r="K955" s="4" t="s">
        <v>4</v>
      </c>
      <c r="L955" s="4">
        <v>3</v>
      </c>
      <c r="M955" s="5">
        <v>300</v>
      </c>
      <c r="N955">
        <f>L955*M955</f>
        <v>900</v>
      </c>
      <c r="O955" s="15">
        <f>N955*$R$3</f>
        <v>13.5</v>
      </c>
    </row>
    <row r="956" spans="1:15">
      <c r="A956" s="2">
        <v>955</v>
      </c>
      <c r="B956" s="4">
        <f>YEAR(F956)</f>
        <v>2023</v>
      </c>
      <c r="C956" s="4">
        <f>MONTH(F956)</f>
        <v>7</v>
      </c>
      <c r="D956" s="4">
        <f>DAY(F956)</f>
        <v>14</v>
      </c>
      <c r="E956" s="4" t="str">
        <f t="shared" si="14"/>
        <v>Friday</v>
      </c>
      <c r="F956" s="3">
        <v>45121</v>
      </c>
      <c r="G956" s="4" t="s">
        <v>987</v>
      </c>
      <c r="H956" s="4" t="s">
        <v>8</v>
      </c>
      <c r="I956" s="4">
        <v>58</v>
      </c>
      <c r="J956" s="4" t="str" cm="1">
        <f t="array" ref="J956">_xlfn.IFS(I956&lt;30,"Young Adult", I956&lt;50,"Adult",I956 &gt;=50,"Seniors")</f>
        <v>Seniors</v>
      </c>
      <c r="K956" s="4" t="s">
        <v>3</v>
      </c>
      <c r="L956" s="4">
        <v>1</v>
      </c>
      <c r="M956" s="5">
        <v>25</v>
      </c>
      <c r="N956">
        <f>L956*M956</f>
        <v>25</v>
      </c>
      <c r="O956" s="15">
        <f>N956*$R$3</f>
        <v>0.375</v>
      </c>
    </row>
    <row r="957" spans="1:15">
      <c r="A957" s="2">
        <v>956</v>
      </c>
      <c r="B957" s="4">
        <f>YEAR(F957)</f>
        <v>2023</v>
      </c>
      <c r="C957" s="4">
        <f>MONTH(F957)</f>
        <v>8</v>
      </c>
      <c r="D957" s="4">
        <f>DAY(F957)</f>
        <v>19</v>
      </c>
      <c r="E957" s="4" t="str">
        <f t="shared" si="14"/>
        <v>Saturday</v>
      </c>
      <c r="F957" s="3">
        <v>45157</v>
      </c>
      <c r="G957" s="4" t="s">
        <v>988</v>
      </c>
      <c r="H957" s="4" t="s">
        <v>8</v>
      </c>
      <c r="I957" s="4">
        <v>30</v>
      </c>
      <c r="J957" s="4" t="str" cm="1">
        <f t="array" ref="J957">_xlfn.IFS(I957&lt;30,"Young Adult", I957&lt;50,"Adult",I957 &gt;=50,"Seniors")</f>
        <v>Adult</v>
      </c>
      <c r="K957" s="4" t="s">
        <v>3</v>
      </c>
      <c r="L957" s="4">
        <v>3</v>
      </c>
      <c r="M957" s="5">
        <v>500</v>
      </c>
      <c r="N957">
        <f>L957*M957</f>
        <v>1500</v>
      </c>
      <c r="O957" s="15">
        <f>N957*$R$3</f>
        <v>22.5</v>
      </c>
    </row>
    <row r="958" spans="1:15">
      <c r="A958" s="2">
        <v>957</v>
      </c>
      <c r="B958" s="4">
        <f>YEAR(F958)</f>
        <v>2023</v>
      </c>
      <c r="C958" s="4">
        <f>MONTH(F958)</f>
        <v>8</v>
      </c>
      <c r="D958" s="4">
        <f>DAY(F958)</f>
        <v>15</v>
      </c>
      <c r="E958" s="4" t="str">
        <f t="shared" si="14"/>
        <v>Tuesday</v>
      </c>
      <c r="F958" s="3">
        <v>45153</v>
      </c>
      <c r="G958" s="4" t="s">
        <v>989</v>
      </c>
      <c r="H958" s="4" t="s">
        <v>7</v>
      </c>
      <c r="I958" s="4">
        <v>60</v>
      </c>
      <c r="J958" s="4" t="str" cm="1">
        <f t="array" ref="J958">_xlfn.IFS(I958&lt;30,"Young Adult", I958&lt;50,"Adult",I958 &gt;=50,"Seniors")</f>
        <v>Seniors</v>
      </c>
      <c r="K958" s="4" t="s">
        <v>4</v>
      </c>
      <c r="L958" s="4">
        <v>4</v>
      </c>
      <c r="M958" s="5">
        <v>30</v>
      </c>
      <c r="N958">
        <f>L958*M958</f>
        <v>120</v>
      </c>
      <c r="O958" s="15">
        <f>N958*$R$3</f>
        <v>1.7999999999999998</v>
      </c>
    </row>
    <row r="959" spans="1:15">
      <c r="A959" s="2">
        <v>958</v>
      </c>
      <c r="B959" s="4">
        <f>YEAR(F959)</f>
        <v>2023</v>
      </c>
      <c r="C959" s="4">
        <f>MONTH(F959)</f>
        <v>6</v>
      </c>
      <c r="D959" s="4">
        <f>DAY(F959)</f>
        <v>2</v>
      </c>
      <c r="E959" s="4" t="str">
        <f t="shared" si="14"/>
        <v>Friday</v>
      </c>
      <c r="F959" s="3">
        <v>45079</v>
      </c>
      <c r="G959" s="4" t="s">
        <v>990</v>
      </c>
      <c r="H959" s="4" t="s">
        <v>8</v>
      </c>
      <c r="I959" s="4">
        <v>62</v>
      </c>
      <c r="J959" s="4" t="str" cm="1">
        <f t="array" ref="J959">_xlfn.IFS(I959&lt;30,"Young Adult", I959&lt;50,"Adult",I959 &gt;=50,"Seniors")</f>
        <v>Seniors</v>
      </c>
      <c r="K959" s="4" t="s">
        <v>4</v>
      </c>
      <c r="L959" s="4">
        <v>2</v>
      </c>
      <c r="M959" s="5">
        <v>25</v>
      </c>
      <c r="N959">
        <f>L959*M959</f>
        <v>50</v>
      </c>
      <c r="O959" s="15">
        <f>N959*$R$3</f>
        <v>0.75</v>
      </c>
    </row>
    <row r="960" spans="1:15">
      <c r="A960" s="2">
        <v>959</v>
      </c>
      <c r="B960" s="4">
        <f>YEAR(F960)</f>
        <v>2023</v>
      </c>
      <c r="C960" s="4">
        <f>MONTH(F960)</f>
        <v>10</v>
      </c>
      <c r="D960" s="4">
        <f>DAY(F960)</f>
        <v>29</v>
      </c>
      <c r="E960" s="4" t="str">
        <f t="shared" si="14"/>
        <v>Sunday</v>
      </c>
      <c r="F960" s="3">
        <v>45228</v>
      </c>
      <c r="G960" s="4" t="s">
        <v>991</v>
      </c>
      <c r="H960" s="4" t="s">
        <v>7</v>
      </c>
      <c r="I960" s="4">
        <v>42</v>
      </c>
      <c r="J960" s="4" t="str" cm="1">
        <f t="array" ref="J960">_xlfn.IFS(I960&lt;30,"Young Adult", I960&lt;50,"Adult",I960 &gt;=50,"Seniors")</f>
        <v>Adult</v>
      </c>
      <c r="K960" s="4" t="s">
        <v>4</v>
      </c>
      <c r="L960" s="4">
        <v>2</v>
      </c>
      <c r="M960" s="5">
        <v>30</v>
      </c>
      <c r="N960">
        <f>L960*M960</f>
        <v>60</v>
      </c>
      <c r="O960" s="15">
        <f>N960*$R$3</f>
        <v>0.89999999999999991</v>
      </c>
    </row>
    <row r="961" spans="1:15">
      <c r="A961" s="2">
        <v>960</v>
      </c>
      <c r="B961" s="4">
        <f>YEAR(F961)</f>
        <v>2023</v>
      </c>
      <c r="C961" s="4">
        <f>MONTH(F961)</f>
        <v>8</v>
      </c>
      <c r="D961" s="4">
        <f>DAY(F961)</f>
        <v>8</v>
      </c>
      <c r="E961" s="4" t="str">
        <f t="shared" si="14"/>
        <v>Tuesday</v>
      </c>
      <c r="F961" s="3">
        <v>45146</v>
      </c>
      <c r="G961" s="4" t="s">
        <v>992</v>
      </c>
      <c r="H961" s="4" t="s">
        <v>8</v>
      </c>
      <c r="I961" s="4">
        <v>59</v>
      </c>
      <c r="J961" s="4" t="str" cm="1">
        <f t="array" ref="J961">_xlfn.IFS(I961&lt;30,"Young Adult", I961&lt;50,"Adult",I961 &gt;=50,"Seniors")</f>
        <v>Seniors</v>
      </c>
      <c r="K961" s="4" t="s">
        <v>3</v>
      </c>
      <c r="L961" s="4">
        <v>2</v>
      </c>
      <c r="M961" s="5">
        <v>30</v>
      </c>
      <c r="N961">
        <f>L961*M961</f>
        <v>60</v>
      </c>
      <c r="O961" s="15">
        <f>N961*$R$3</f>
        <v>0.89999999999999991</v>
      </c>
    </row>
    <row r="962" spans="1:15">
      <c r="A962" s="2">
        <v>961</v>
      </c>
      <c r="B962" s="4">
        <f>YEAR(F962)</f>
        <v>2023</v>
      </c>
      <c r="C962" s="4">
        <f>MONTH(F962)</f>
        <v>6</v>
      </c>
      <c r="D962" s="4">
        <f>DAY(F962)</f>
        <v>6</v>
      </c>
      <c r="E962" s="4" t="str">
        <f t="shared" si="14"/>
        <v>Tuesday</v>
      </c>
      <c r="F962" s="3">
        <v>45083</v>
      </c>
      <c r="G962" s="4" t="s">
        <v>993</v>
      </c>
      <c r="H962" s="4" t="s">
        <v>8</v>
      </c>
      <c r="I962" s="4">
        <v>53</v>
      </c>
      <c r="J962" s="4" t="str" cm="1">
        <f t="array" ref="J962">_xlfn.IFS(I962&lt;30,"Young Adult", I962&lt;50,"Adult",I962 &gt;=50,"Seniors")</f>
        <v>Seniors</v>
      </c>
      <c r="K962" s="4" t="s">
        <v>2</v>
      </c>
      <c r="L962" s="4">
        <v>4</v>
      </c>
      <c r="M962" s="5">
        <v>50</v>
      </c>
      <c r="N962">
        <f>L962*M962</f>
        <v>200</v>
      </c>
      <c r="O962" s="15">
        <f>N962*$R$3</f>
        <v>3</v>
      </c>
    </row>
    <row r="963" spans="1:15">
      <c r="A963" s="2">
        <v>962</v>
      </c>
      <c r="B963" s="4">
        <f>YEAR(F963)</f>
        <v>2023</v>
      </c>
      <c r="C963" s="4">
        <f>MONTH(F963)</f>
        <v>10</v>
      </c>
      <c r="D963" s="4">
        <f>DAY(F963)</f>
        <v>19</v>
      </c>
      <c r="E963" s="4" t="str">
        <f t="shared" ref="E963:E1001" si="15">TEXT(F963,"dddd")</f>
        <v>Thursday</v>
      </c>
      <c r="F963" s="3">
        <v>45218</v>
      </c>
      <c r="G963" s="4" t="s">
        <v>994</v>
      </c>
      <c r="H963" s="4" t="s">
        <v>8</v>
      </c>
      <c r="I963" s="4">
        <v>44</v>
      </c>
      <c r="J963" s="4" t="str" cm="1">
        <f t="array" ref="J963">_xlfn.IFS(I963&lt;30,"Young Adult", I963&lt;50,"Adult",I963 &gt;=50,"Seniors")</f>
        <v>Adult</v>
      </c>
      <c r="K963" s="4" t="s">
        <v>3</v>
      </c>
      <c r="L963" s="4">
        <v>2</v>
      </c>
      <c r="M963" s="5">
        <v>30</v>
      </c>
      <c r="N963">
        <f>L963*M963</f>
        <v>60</v>
      </c>
      <c r="O963" s="15">
        <f>N963*$R$3</f>
        <v>0.89999999999999991</v>
      </c>
    </row>
    <row r="964" spans="1:15">
      <c r="A964" s="2">
        <v>963</v>
      </c>
      <c r="B964" s="4">
        <f>YEAR(F964)</f>
        <v>2023</v>
      </c>
      <c r="C964" s="4">
        <f>MONTH(F964)</f>
        <v>11</v>
      </c>
      <c r="D964" s="4">
        <f>DAY(F964)</f>
        <v>14</v>
      </c>
      <c r="E964" s="4" t="str">
        <f t="shared" si="15"/>
        <v>Tuesday</v>
      </c>
      <c r="F964" s="3">
        <v>45244</v>
      </c>
      <c r="G964" s="4" t="s">
        <v>995</v>
      </c>
      <c r="H964" s="4" t="s">
        <v>7</v>
      </c>
      <c r="I964" s="4">
        <v>55</v>
      </c>
      <c r="J964" s="4" t="str" cm="1">
        <f t="array" ref="J964">_xlfn.IFS(I964&lt;30,"Young Adult", I964&lt;50,"Adult",I964 &gt;=50,"Seniors")</f>
        <v>Seniors</v>
      </c>
      <c r="K964" s="4" t="s">
        <v>2</v>
      </c>
      <c r="L964" s="4">
        <v>1</v>
      </c>
      <c r="M964" s="5">
        <v>50</v>
      </c>
      <c r="N964">
        <f>L964*M964</f>
        <v>50</v>
      </c>
      <c r="O964" s="15">
        <f>N964*$R$3</f>
        <v>0.75</v>
      </c>
    </row>
    <row r="965" spans="1:15">
      <c r="A965" s="2">
        <v>964</v>
      </c>
      <c r="B965" s="4">
        <f>YEAR(F965)</f>
        <v>2023</v>
      </c>
      <c r="C965" s="4">
        <f>MONTH(F965)</f>
        <v>1</v>
      </c>
      <c r="D965" s="4">
        <f>DAY(F965)</f>
        <v>31</v>
      </c>
      <c r="E965" s="4" t="str">
        <f t="shared" si="15"/>
        <v>Tuesday</v>
      </c>
      <c r="F965" s="3">
        <v>44957</v>
      </c>
      <c r="G965" s="4" t="s">
        <v>996</v>
      </c>
      <c r="H965" s="4" t="s">
        <v>8</v>
      </c>
      <c r="I965" s="4">
        <v>24</v>
      </c>
      <c r="J965" s="4" t="str" cm="1">
        <f t="array" ref="J965">_xlfn.IFS(I965&lt;30,"Young Adult", I965&lt;50,"Adult",I965 &gt;=50,"Seniors")</f>
        <v>Young Adult</v>
      </c>
      <c r="K965" s="4" t="s">
        <v>3</v>
      </c>
      <c r="L965" s="4">
        <v>3</v>
      </c>
      <c r="M965" s="5">
        <v>300</v>
      </c>
      <c r="N965">
        <f>L965*M965</f>
        <v>900</v>
      </c>
      <c r="O965" s="15">
        <f>N965*$R$3</f>
        <v>13.5</v>
      </c>
    </row>
    <row r="966" spans="1:15">
      <c r="A966" s="2">
        <v>965</v>
      </c>
      <c r="B966" s="4">
        <f>YEAR(F966)</f>
        <v>2023</v>
      </c>
      <c r="C966" s="4">
        <f>MONTH(F966)</f>
        <v>11</v>
      </c>
      <c r="D966" s="4">
        <f>DAY(F966)</f>
        <v>9</v>
      </c>
      <c r="E966" s="4" t="str">
        <f t="shared" si="15"/>
        <v>Thursday</v>
      </c>
      <c r="F966" s="3">
        <v>45239</v>
      </c>
      <c r="G966" s="4" t="s">
        <v>997</v>
      </c>
      <c r="H966" s="4" t="s">
        <v>8</v>
      </c>
      <c r="I966" s="4">
        <v>22</v>
      </c>
      <c r="J966" s="4" t="str" cm="1">
        <f t="array" ref="J966">_xlfn.IFS(I966&lt;30,"Young Adult", I966&lt;50,"Adult",I966 &gt;=50,"Seniors")</f>
        <v>Young Adult</v>
      </c>
      <c r="K966" s="4" t="s">
        <v>3</v>
      </c>
      <c r="L966" s="4">
        <v>4</v>
      </c>
      <c r="M966" s="5">
        <v>50</v>
      </c>
      <c r="N966">
        <f>L966*M966</f>
        <v>200</v>
      </c>
      <c r="O966" s="15">
        <f>N966*$R$3</f>
        <v>3</v>
      </c>
    </row>
    <row r="967" spans="1:15">
      <c r="A967" s="2">
        <v>966</v>
      </c>
      <c r="B967" s="4">
        <f>YEAR(F967)</f>
        <v>2023</v>
      </c>
      <c r="C967" s="4">
        <f>MONTH(F967)</f>
        <v>2</v>
      </c>
      <c r="D967" s="4">
        <f>DAY(F967)</f>
        <v>20</v>
      </c>
      <c r="E967" s="4" t="str">
        <f t="shared" si="15"/>
        <v>Monday</v>
      </c>
      <c r="F967" s="3">
        <v>44977</v>
      </c>
      <c r="G967" s="4" t="s">
        <v>998</v>
      </c>
      <c r="H967" s="4" t="s">
        <v>8</v>
      </c>
      <c r="I967" s="4">
        <v>60</v>
      </c>
      <c r="J967" s="4" t="str" cm="1">
        <f t="array" ref="J967">_xlfn.IFS(I967&lt;30,"Young Adult", I967&lt;50,"Adult",I967 &gt;=50,"Seniors")</f>
        <v>Seniors</v>
      </c>
      <c r="K967" s="4" t="s">
        <v>4</v>
      </c>
      <c r="L967" s="4">
        <v>2</v>
      </c>
      <c r="M967" s="5">
        <v>500</v>
      </c>
      <c r="N967">
        <f>L967*M967</f>
        <v>1000</v>
      </c>
      <c r="O967" s="15">
        <f>N967*$R$3</f>
        <v>15</v>
      </c>
    </row>
    <row r="968" spans="1:15">
      <c r="A968" s="2">
        <v>967</v>
      </c>
      <c r="B968" s="4">
        <f>YEAR(F968)</f>
        <v>2023</v>
      </c>
      <c r="C968" s="4">
        <f>MONTH(F968)</f>
        <v>4</v>
      </c>
      <c r="D968" s="4">
        <f>DAY(F968)</f>
        <v>17</v>
      </c>
      <c r="E968" s="4" t="str">
        <f t="shared" si="15"/>
        <v>Monday</v>
      </c>
      <c r="F968" s="3">
        <v>45033</v>
      </c>
      <c r="G968" s="4" t="s">
        <v>999</v>
      </c>
      <c r="H968" s="4" t="s">
        <v>8</v>
      </c>
      <c r="I968" s="4">
        <v>62</v>
      </c>
      <c r="J968" s="4" t="str" cm="1">
        <f t="array" ref="J968">_xlfn.IFS(I968&lt;30,"Young Adult", I968&lt;50,"Adult",I968 &gt;=50,"Seniors")</f>
        <v>Seniors</v>
      </c>
      <c r="K968" s="4" t="s">
        <v>2</v>
      </c>
      <c r="L968" s="4">
        <v>1</v>
      </c>
      <c r="M968" s="5">
        <v>25</v>
      </c>
      <c r="N968">
        <f>L968*M968</f>
        <v>25</v>
      </c>
      <c r="O968" s="15">
        <f>N968*$R$3</f>
        <v>0.375</v>
      </c>
    </row>
    <row r="969" spans="1:15">
      <c r="A969" s="2">
        <v>968</v>
      </c>
      <c r="B969" s="4">
        <f>YEAR(F969)</f>
        <v>2023</v>
      </c>
      <c r="C969" s="4">
        <f>MONTH(F969)</f>
        <v>11</v>
      </c>
      <c r="D969" s="4">
        <f>DAY(F969)</f>
        <v>17</v>
      </c>
      <c r="E969" s="4" t="str">
        <f t="shared" si="15"/>
        <v>Friday</v>
      </c>
      <c r="F969" s="3">
        <v>45247</v>
      </c>
      <c r="G969" s="4" t="s">
        <v>1000</v>
      </c>
      <c r="H969" s="4" t="s">
        <v>7</v>
      </c>
      <c r="I969" s="4">
        <v>48</v>
      </c>
      <c r="J969" s="4" t="str" cm="1">
        <f t="array" ref="J969">_xlfn.IFS(I969&lt;30,"Young Adult", I969&lt;50,"Adult",I969 &gt;=50,"Seniors")</f>
        <v>Adult</v>
      </c>
      <c r="K969" s="4" t="s">
        <v>3</v>
      </c>
      <c r="L969" s="4">
        <v>3</v>
      </c>
      <c r="M969" s="5">
        <v>300</v>
      </c>
      <c r="N969">
        <f>L969*M969</f>
        <v>900</v>
      </c>
      <c r="O969" s="15">
        <f>N969*$R$3</f>
        <v>13.5</v>
      </c>
    </row>
    <row r="970" spans="1:15">
      <c r="A970" s="2">
        <v>969</v>
      </c>
      <c r="B970" s="4">
        <f>YEAR(F970)</f>
        <v>2023</v>
      </c>
      <c r="C970" s="4">
        <f>MONTH(F970)</f>
        <v>4</v>
      </c>
      <c r="D970" s="4">
        <f>DAY(F970)</f>
        <v>19</v>
      </c>
      <c r="E970" s="4" t="str">
        <f t="shared" si="15"/>
        <v>Wednesday</v>
      </c>
      <c r="F970" s="3">
        <v>45035</v>
      </c>
      <c r="G970" s="4" t="s">
        <v>1001</v>
      </c>
      <c r="H970" s="4" t="s">
        <v>7</v>
      </c>
      <c r="I970" s="4">
        <v>40</v>
      </c>
      <c r="J970" s="4" t="str" cm="1">
        <f t="array" ref="J970">_xlfn.IFS(I970&lt;30,"Young Adult", I970&lt;50,"Adult",I970 &gt;=50,"Seniors")</f>
        <v>Adult</v>
      </c>
      <c r="K970" s="4" t="s">
        <v>3</v>
      </c>
      <c r="L970" s="4">
        <v>3</v>
      </c>
      <c r="M970" s="5">
        <v>300</v>
      </c>
      <c r="N970">
        <f>L970*M970</f>
        <v>900</v>
      </c>
      <c r="O970" s="15">
        <f>N970*$R$3</f>
        <v>13.5</v>
      </c>
    </row>
    <row r="971" spans="1:15">
      <c r="A971" s="2">
        <v>970</v>
      </c>
      <c r="B971" s="4">
        <f>YEAR(F971)</f>
        <v>2023</v>
      </c>
      <c r="C971" s="4">
        <f>MONTH(F971)</f>
        <v>5</v>
      </c>
      <c r="D971" s="4">
        <f>DAY(F971)</f>
        <v>16</v>
      </c>
      <c r="E971" s="4" t="str">
        <f t="shared" si="15"/>
        <v>Tuesday</v>
      </c>
      <c r="F971" s="3">
        <v>45062</v>
      </c>
      <c r="G971" s="4" t="s">
        <v>1002</v>
      </c>
      <c r="H971" s="4" t="s">
        <v>8</v>
      </c>
      <c r="I971" s="4">
        <v>59</v>
      </c>
      <c r="J971" s="4" t="str" cm="1">
        <f t="array" ref="J971">_xlfn.IFS(I971&lt;30,"Young Adult", I971&lt;50,"Adult",I971 &gt;=50,"Seniors")</f>
        <v>Seniors</v>
      </c>
      <c r="K971" s="4" t="s">
        <v>4</v>
      </c>
      <c r="L971" s="4">
        <v>4</v>
      </c>
      <c r="M971" s="5">
        <v>500</v>
      </c>
      <c r="N971">
        <f>L971*M971</f>
        <v>2000</v>
      </c>
      <c r="O971" s="15">
        <f>N971*$R$3</f>
        <v>30</v>
      </c>
    </row>
    <row r="972" spans="1:15">
      <c r="A972" s="2">
        <v>971</v>
      </c>
      <c r="B972" s="4">
        <f>YEAR(F972)</f>
        <v>2023</v>
      </c>
      <c r="C972" s="4">
        <f>MONTH(F972)</f>
        <v>12</v>
      </c>
      <c r="D972" s="4">
        <f>DAY(F972)</f>
        <v>5</v>
      </c>
      <c r="E972" s="4" t="str">
        <f t="shared" si="15"/>
        <v>Tuesday</v>
      </c>
      <c r="F972" s="3">
        <v>45265</v>
      </c>
      <c r="G972" s="4" t="s">
        <v>1003</v>
      </c>
      <c r="H972" s="4" t="s">
        <v>7</v>
      </c>
      <c r="I972" s="4">
        <v>27</v>
      </c>
      <c r="J972" s="4" t="str" cm="1">
        <f t="array" ref="J972">_xlfn.IFS(I972&lt;30,"Young Adult", I972&lt;50,"Adult",I972 &gt;=50,"Seniors")</f>
        <v>Young Adult</v>
      </c>
      <c r="K972" s="4" t="s">
        <v>4</v>
      </c>
      <c r="L972" s="4">
        <v>4</v>
      </c>
      <c r="M972" s="5">
        <v>50</v>
      </c>
      <c r="N972">
        <f>L972*M972</f>
        <v>200</v>
      </c>
      <c r="O972" s="15">
        <f>N972*$R$3</f>
        <v>3</v>
      </c>
    </row>
    <row r="973" spans="1:15">
      <c r="A973" s="2">
        <v>972</v>
      </c>
      <c r="B973" s="4">
        <f>YEAR(F973)</f>
        <v>2023</v>
      </c>
      <c r="C973" s="4">
        <f>MONTH(F973)</f>
        <v>2</v>
      </c>
      <c r="D973" s="4">
        <f>DAY(F973)</f>
        <v>11</v>
      </c>
      <c r="E973" s="4" t="str">
        <f t="shared" si="15"/>
        <v>Saturday</v>
      </c>
      <c r="F973" s="3">
        <v>44968</v>
      </c>
      <c r="G973" s="4" t="s">
        <v>1004</v>
      </c>
      <c r="H973" s="4" t="s">
        <v>8</v>
      </c>
      <c r="I973" s="4">
        <v>49</v>
      </c>
      <c r="J973" s="4" t="str" cm="1">
        <f t="array" ref="J973">_xlfn.IFS(I973&lt;30,"Young Adult", I973&lt;50,"Adult",I973 &gt;=50,"Seniors")</f>
        <v>Adult</v>
      </c>
      <c r="K973" s="4" t="s">
        <v>2</v>
      </c>
      <c r="L973" s="4">
        <v>4</v>
      </c>
      <c r="M973" s="5">
        <v>25</v>
      </c>
      <c r="N973">
        <f>L973*M973</f>
        <v>100</v>
      </c>
      <c r="O973" s="15">
        <f>N973*$R$3</f>
        <v>1.5</v>
      </c>
    </row>
    <row r="974" spans="1:15">
      <c r="A974" s="2">
        <v>973</v>
      </c>
      <c r="B974" s="4">
        <f>YEAR(F974)</f>
        <v>2023</v>
      </c>
      <c r="C974" s="4">
        <f>MONTH(F974)</f>
        <v>3</v>
      </c>
      <c r="D974" s="4">
        <f>DAY(F974)</f>
        <v>22</v>
      </c>
      <c r="E974" s="4" t="str">
        <f t="shared" si="15"/>
        <v>Wednesday</v>
      </c>
      <c r="F974" s="3">
        <v>45007</v>
      </c>
      <c r="G974" s="4" t="s">
        <v>1005</v>
      </c>
      <c r="H974" s="4" t="s">
        <v>8</v>
      </c>
      <c r="I974" s="4">
        <v>60</v>
      </c>
      <c r="J974" s="4" t="str" cm="1">
        <f t="array" ref="J974">_xlfn.IFS(I974&lt;30,"Young Adult", I974&lt;50,"Adult",I974 &gt;=50,"Seniors")</f>
        <v>Seniors</v>
      </c>
      <c r="K974" s="4" t="s">
        <v>3</v>
      </c>
      <c r="L974" s="4">
        <v>1</v>
      </c>
      <c r="M974" s="5">
        <v>50</v>
      </c>
      <c r="N974">
        <f>L974*M974</f>
        <v>50</v>
      </c>
      <c r="O974" s="15">
        <f>N974*$R$3</f>
        <v>0.75</v>
      </c>
    </row>
    <row r="975" spans="1:15">
      <c r="A975" s="2">
        <v>974</v>
      </c>
      <c r="B975" s="4">
        <f>YEAR(F975)</f>
        <v>2023</v>
      </c>
      <c r="C975" s="4">
        <f>MONTH(F975)</f>
        <v>5</v>
      </c>
      <c r="D975" s="4">
        <f>DAY(F975)</f>
        <v>3</v>
      </c>
      <c r="E975" s="4" t="str">
        <f t="shared" si="15"/>
        <v>Wednesday</v>
      </c>
      <c r="F975" s="3">
        <v>45049</v>
      </c>
      <c r="G975" s="4" t="s">
        <v>1006</v>
      </c>
      <c r="H975" s="4" t="s">
        <v>8</v>
      </c>
      <c r="I975" s="4">
        <v>47</v>
      </c>
      <c r="J975" s="4" t="str" cm="1">
        <f t="array" ref="J975">_xlfn.IFS(I975&lt;30,"Young Adult", I975&lt;50,"Adult",I975 &gt;=50,"Seniors")</f>
        <v>Adult</v>
      </c>
      <c r="K975" s="4" t="s">
        <v>2</v>
      </c>
      <c r="L975" s="4">
        <v>1</v>
      </c>
      <c r="M975" s="5">
        <v>30</v>
      </c>
      <c r="N975">
        <f>L975*M975</f>
        <v>30</v>
      </c>
      <c r="O975" s="15">
        <f>N975*$R$3</f>
        <v>0.44999999999999996</v>
      </c>
    </row>
    <row r="976" spans="1:15">
      <c r="A976" s="2">
        <v>975</v>
      </c>
      <c r="B976" s="4">
        <f>YEAR(F976)</f>
        <v>2023</v>
      </c>
      <c r="C976" s="4">
        <f>MONTH(F976)</f>
        <v>3</v>
      </c>
      <c r="D976" s="4">
        <f>DAY(F976)</f>
        <v>30</v>
      </c>
      <c r="E976" s="4" t="str">
        <f t="shared" si="15"/>
        <v>Thursday</v>
      </c>
      <c r="F976" s="3">
        <v>45015</v>
      </c>
      <c r="G976" s="4" t="s">
        <v>1007</v>
      </c>
      <c r="H976" s="4" t="s">
        <v>7</v>
      </c>
      <c r="I976" s="4">
        <v>56</v>
      </c>
      <c r="J976" s="4" t="str" cm="1">
        <f t="array" ref="J976">_xlfn.IFS(I976&lt;30,"Young Adult", I976&lt;50,"Adult",I976 &gt;=50,"Seniors")</f>
        <v>Seniors</v>
      </c>
      <c r="K976" s="4" t="s">
        <v>3</v>
      </c>
      <c r="L976" s="4">
        <v>4</v>
      </c>
      <c r="M976" s="5">
        <v>50</v>
      </c>
      <c r="N976">
        <f>L976*M976</f>
        <v>200</v>
      </c>
      <c r="O976" s="15">
        <f>N976*$R$3</f>
        <v>3</v>
      </c>
    </row>
    <row r="977" spans="1:15">
      <c r="A977" s="2">
        <v>976</v>
      </c>
      <c r="B977" s="4">
        <f>YEAR(F977)</f>
        <v>2023</v>
      </c>
      <c r="C977" s="4">
        <f>MONTH(F977)</f>
        <v>10</v>
      </c>
      <c r="D977" s="4">
        <f>DAY(F977)</f>
        <v>10</v>
      </c>
      <c r="E977" s="4" t="str">
        <f t="shared" si="15"/>
        <v>Tuesday</v>
      </c>
      <c r="F977" s="3">
        <v>45209</v>
      </c>
      <c r="G977" s="4" t="s">
        <v>1008</v>
      </c>
      <c r="H977" s="4" t="s">
        <v>7</v>
      </c>
      <c r="I977" s="4">
        <v>48</v>
      </c>
      <c r="J977" s="4" t="str" cm="1">
        <f t="array" ref="J977">_xlfn.IFS(I977&lt;30,"Young Adult", I977&lt;50,"Adult",I977 &gt;=50,"Seniors")</f>
        <v>Adult</v>
      </c>
      <c r="K977" s="4" t="s">
        <v>2</v>
      </c>
      <c r="L977" s="4">
        <v>2</v>
      </c>
      <c r="M977" s="5">
        <v>300</v>
      </c>
      <c r="N977">
        <f>L977*M977</f>
        <v>600</v>
      </c>
      <c r="O977" s="15">
        <f>N977*$R$3</f>
        <v>9</v>
      </c>
    </row>
    <row r="978" spans="1:15">
      <c r="A978" s="2">
        <v>977</v>
      </c>
      <c r="B978" s="4">
        <f>YEAR(F978)</f>
        <v>2023</v>
      </c>
      <c r="C978" s="4">
        <f>MONTH(F978)</f>
        <v>2</v>
      </c>
      <c r="D978" s="4">
        <f>DAY(F978)</f>
        <v>8</v>
      </c>
      <c r="E978" s="4" t="str">
        <f t="shared" si="15"/>
        <v>Wednesday</v>
      </c>
      <c r="F978" s="3">
        <v>44965</v>
      </c>
      <c r="G978" s="4" t="s">
        <v>1009</v>
      </c>
      <c r="H978" s="4" t="s">
        <v>7</v>
      </c>
      <c r="I978" s="4">
        <v>35</v>
      </c>
      <c r="J978" s="4" t="str" cm="1">
        <f t="array" ref="J978">_xlfn.IFS(I978&lt;30,"Young Adult", I978&lt;50,"Adult",I978 &gt;=50,"Seniors")</f>
        <v>Adult</v>
      </c>
      <c r="K978" s="4" t="s">
        <v>4</v>
      </c>
      <c r="L978" s="4">
        <v>3</v>
      </c>
      <c r="M978" s="5">
        <v>25</v>
      </c>
      <c r="N978">
        <f>L978*M978</f>
        <v>75</v>
      </c>
      <c r="O978" s="15">
        <f>N978*$R$3</f>
        <v>1.125</v>
      </c>
    </row>
    <row r="979" spans="1:15">
      <c r="A979" s="2">
        <v>978</v>
      </c>
      <c r="B979" s="4">
        <f>YEAR(F979)</f>
        <v>2023</v>
      </c>
      <c r="C979" s="4">
        <f>MONTH(F979)</f>
        <v>3</v>
      </c>
      <c r="D979" s="4">
        <f>DAY(F979)</f>
        <v>22</v>
      </c>
      <c r="E979" s="4" t="str">
        <f t="shared" si="15"/>
        <v>Wednesday</v>
      </c>
      <c r="F979" s="3">
        <v>45007</v>
      </c>
      <c r="G979" s="4" t="s">
        <v>1010</v>
      </c>
      <c r="H979" s="4" t="s">
        <v>7</v>
      </c>
      <c r="I979" s="4">
        <v>53</v>
      </c>
      <c r="J979" s="4" t="str" cm="1">
        <f t="array" ref="J979">_xlfn.IFS(I979&lt;30,"Young Adult", I979&lt;50,"Adult",I979 &gt;=50,"Seniors")</f>
        <v>Seniors</v>
      </c>
      <c r="K979" s="4" t="s">
        <v>3</v>
      </c>
      <c r="L979" s="4">
        <v>3</v>
      </c>
      <c r="M979" s="5">
        <v>50</v>
      </c>
      <c r="N979">
        <f>L979*M979</f>
        <v>150</v>
      </c>
      <c r="O979" s="15">
        <f>N979*$R$3</f>
        <v>2.25</v>
      </c>
    </row>
    <row r="980" spans="1:15">
      <c r="A980" s="2">
        <v>979</v>
      </c>
      <c r="B980" s="4">
        <f>YEAR(F980)</f>
        <v>2023</v>
      </c>
      <c r="C980" s="4">
        <f>MONTH(F980)</f>
        <v>1</v>
      </c>
      <c r="D980" s="4">
        <f>DAY(F980)</f>
        <v>2</v>
      </c>
      <c r="E980" s="4" t="str">
        <f t="shared" si="15"/>
        <v>Monday</v>
      </c>
      <c r="F980" s="3">
        <v>44928</v>
      </c>
      <c r="G980" s="4" t="s">
        <v>1011</v>
      </c>
      <c r="H980" s="4" t="s">
        <v>7</v>
      </c>
      <c r="I980" s="4">
        <v>19</v>
      </c>
      <c r="J980" s="4" t="str" cm="1">
        <f t="array" ref="J980">_xlfn.IFS(I980&lt;30,"Young Adult", I980&lt;50,"Adult",I980 &gt;=50,"Seniors")</f>
        <v>Young Adult</v>
      </c>
      <c r="K980" s="4" t="s">
        <v>2</v>
      </c>
      <c r="L980" s="4">
        <v>1</v>
      </c>
      <c r="M980" s="5">
        <v>25</v>
      </c>
      <c r="N980">
        <f>L980*M980</f>
        <v>25</v>
      </c>
      <c r="O980" s="15">
        <f>N980*$R$3</f>
        <v>0.375</v>
      </c>
    </row>
    <row r="981" spans="1:15">
      <c r="A981" s="2">
        <v>980</v>
      </c>
      <c r="B981" s="4">
        <f>YEAR(F981)</f>
        <v>2023</v>
      </c>
      <c r="C981" s="4">
        <f>MONTH(F981)</f>
        <v>7</v>
      </c>
      <c r="D981" s="4">
        <f>DAY(F981)</f>
        <v>29</v>
      </c>
      <c r="E981" s="4" t="str">
        <f t="shared" si="15"/>
        <v>Saturday</v>
      </c>
      <c r="F981" s="3">
        <v>45136</v>
      </c>
      <c r="G981" s="4" t="s">
        <v>1012</v>
      </c>
      <c r="H981" s="4" t="s">
        <v>7</v>
      </c>
      <c r="I981" s="4">
        <v>31</v>
      </c>
      <c r="J981" s="4" t="str" cm="1">
        <f t="array" ref="J981">_xlfn.IFS(I981&lt;30,"Young Adult", I981&lt;50,"Adult",I981 &gt;=50,"Seniors")</f>
        <v>Adult</v>
      </c>
      <c r="K981" s="4" t="s">
        <v>4</v>
      </c>
      <c r="L981" s="4">
        <v>3</v>
      </c>
      <c r="M981" s="5">
        <v>25</v>
      </c>
      <c r="N981">
        <f>L981*M981</f>
        <v>75</v>
      </c>
      <c r="O981" s="15">
        <f>N981*$R$3</f>
        <v>1.125</v>
      </c>
    </row>
    <row r="982" spans="1:15">
      <c r="A982" s="2">
        <v>981</v>
      </c>
      <c r="B982" s="4">
        <f>YEAR(F982)</f>
        <v>2023</v>
      </c>
      <c r="C982" s="4">
        <f>MONTH(F982)</f>
        <v>8</v>
      </c>
      <c r="D982" s="4">
        <f>DAY(F982)</f>
        <v>19</v>
      </c>
      <c r="E982" s="4" t="str">
        <f t="shared" si="15"/>
        <v>Saturday</v>
      </c>
      <c r="F982" s="3">
        <v>45157</v>
      </c>
      <c r="G982" s="4" t="s">
        <v>1013</v>
      </c>
      <c r="H982" s="4" t="s">
        <v>7</v>
      </c>
      <c r="I982" s="4">
        <v>30</v>
      </c>
      <c r="J982" s="4" t="str" cm="1">
        <f t="array" ref="J982">_xlfn.IFS(I982&lt;30,"Young Adult", I982&lt;50,"Adult",I982 &gt;=50,"Seniors")</f>
        <v>Adult</v>
      </c>
      <c r="K982" s="4" t="s">
        <v>4</v>
      </c>
      <c r="L982" s="4">
        <v>2</v>
      </c>
      <c r="M982" s="5">
        <v>30</v>
      </c>
      <c r="N982">
        <f>L982*M982</f>
        <v>60</v>
      </c>
      <c r="O982" s="15">
        <f>N982*$R$3</f>
        <v>0.89999999999999991</v>
      </c>
    </row>
    <row r="983" spans="1:15">
      <c r="A983" s="2">
        <v>982</v>
      </c>
      <c r="B983" s="4">
        <f>YEAR(F983)</f>
        <v>2023</v>
      </c>
      <c r="C983" s="4">
        <f>MONTH(F983)</f>
        <v>12</v>
      </c>
      <c r="D983" s="4">
        <f>DAY(F983)</f>
        <v>19</v>
      </c>
      <c r="E983" s="4" t="str">
        <f t="shared" si="15"/>
        <v>Tuesday</v>
      </c>
      <c r="F983" s="3">
        <v>45279</v>
      </c>
      <c r="G983" s="4" t="s">
        <v>1014</v>
      </c>
      <c r="H983" s="4" t="s">
        <v>7</v>
      </c>
      <c r="I983" s="4">
        <v>46</v>
      </c>
      <c r="J983" s="4" t="str" cm="1">
        <f t="array" ref="J983">_xlfn.IFS(I983&lt;30,"Young Adult", I983&lt;50,"Adult",I983 &gt;=50,"Seniors")</f>
        <v>Adult</v>
      </c>
      <c r="K983" s="4" t="s">
        <v>2</v>
      </c>
      <c r="L983" s="4">
        <v>3</v>
      </c>
      <c r="M983" s="5">
        <v>30</v>
      </c>
      <c r="N983">
        <f>L983*M983</f>
        <v>90</v>
      </c>
      <c r="O983" s="15">
        <f>N983*$R$3</f>
        <v>1.3499999999999999</v>
      </c>
    </row>
    <row r="984" spans="1:15">
      <c r="A984" s="2">
        <v>983</v>
      </c>
      <c r="B984" s="4">
        <f>YEAR(F984)</f>
        <v>2023</v>
      </c>
      <c r="C984" s="4">
        <f>MONTH(F984)</f>
        <v>11</v>
      </c>
      <c r="D984" s="4">
        <f>DAY(F984)</f>
        <v>1</v>
      </c>
      <c r="E984" s="4" t="str">
        <f t="shared" si="15"/>
        <v>Wednesday</v>
      </c>
      <c r="F984" s="3">
        <v>45231</v>
      </c>
      <c r="G984" s="4" t="s">
        <v>1015</v>
      </c>
      <c r="H984" s="4" t="s">
        <v>7</v>
      </c>
      <c r="I984" s="4">
        <v>29</v>
      </c>
      <c r="J984" s="4" t="str" cm="1">
        <f t="array" ref="J984">_xlfn.IFS(I984&lt;30,"Young Adult", I984&lt;50,"Adult",I984 &gt;=50,"Seniors")</f>
        <v>Young Adult</v>
      </c>
      <c r="K984" s="4" t="s">
        <v>3</v>
      </c>
      <c r="L984" s="4">
        <v>1</v>
      </c>
      <c r="M984" s="5">
        <v>300</v>
      </c>
      <c r="N984">
        <f>L984*M984</f>
        <v>300</v>
      </c>
      <c r="O984" s="15">
        <f>N984*$R$3</f>
        <v>4.5</v>
      </c>
    </row>
    <row r="985" spans="1:15">
      <c r="A985" s="2">
        <v>984</v>
      </c>
      <c r="B985" s="4">
        <f>YEAR(F985)</f>
        <v>2023</v>
      </c>
      <c r="C985" s="4">
        <f>MONTH(F985)</f>
        <v>8</v>
      </c>
      <c r="D985" s="4">
        <f>DAY(F985)</f>
        <v>29</v>
      </c>
      <c r="E985" s="4" t="str">
        <f t="shared" si="15"/>
        <v>Tuesday</v>
      </c>
      <c r="F985" s="3">
        <v>45167</v>
      </c>
      <c r="G985" s="4" t="s">
        <v>1016</v>
      </c>
      <c r="H985" s="4" t="s">
        <v>8</v>
      </c>
      <c r="I985" s="4">
        <v>56</v>
      </c>
      <c r="J985" s="4" t="str" cm="1">
        <f t="array" ref="J985">_xlfn.IFS(I985&lt;30,"Young Adult", I985&lt;50,"Adult",I985 &gt;=50,"Seniors")</f>
        <v>Seniors</v>
      </c>
      <c r="K985" s="4" t="s">
        <v>3</v>
      </c>
      <c r="L985" s="4">
        <v>1</v>
      </c>
      <c r="M985" s="5">
        <v>500</v>
      </c>
      <c r="N985">
        <f>L985*M985</f>
        <v>500</v>
      </c>
      <c r="O985" s="15">
        <f>N985*$R$3</f>
        <v>7.5</v>
      </c>
    </row>
    <row r="986" spans="1:15">
      <c r="A986" s="2">
        <v>985</v>
      </c>
      <c r="B986" s="4">
        <f>YEAR(F986)</f>
        <v>2023</v>
      </c>
      <c r="C986" s="4">
        <f>MONTH(F986)</f>
        <v>5</v>
      </c>
      <c r="D986" s="4">
        <f>DAY(F986)</f>
        <v>30</v>
      </c>
      <c r="E986" s="4" t="str">
        <f t="shared" si="15"/>
        <v>Tuesday</v>
      </c>
      <c r="F986" s="3">
        <v>45076</v>
      </c>
      <c r="G986" s="4" t="s">
        <v>1017</v>
      </c>
      <c r="H986" s="4" t="s">
        <v>7</v>
      </c>
      <c r="I986" s="4">
        <v>19</v>
      </c>
      <c r="J986" s="4" t="str" cm="1">
        <f t="array" ref="J986">_xlfn.IFS(I986&lt;30,"Young Adult", I986&lt;50,"Adult",I986 &gt;=50,"Seniors")</f>
        <v>Young Adult</v>
      </c>
      <c r="K986" s="4" t="s">
        <v>4</v>
      </c>
      <c r="L986" s="4">
        <v>2</v>
      </c>
      <c r="M986" s="5">
        <v>25</v>
      </c>
      <c r="N986">
        <f>L986*M986</f>
        <v>50</v>
      </c>
      <c r="O986" s="15">
        <f>N986*$R$3</f>
        <v>0.75</v>
      </c>
    </row>
    <row r="987" spans="1:15">
      <c r="A987" s="2">
        <v>986</v>
      </c>
      <c r="B987" s="4">
        <f>YEAR(F987)</f>
        <v>2023</v>
      </c>
      <c r="C987" s="4">
        <f>MONTH(F987)</f>
        <v>1</v>
      </c>
      <c r="D987" s="4">
        <f>DAY(F987)</f>
        <v>17</v>
      </c>
      <c r="E987" s="4" t="str">
        <f t="shared" si="15"/>
        <v>Tuesday</v>
      </c>
      <c r="F987" s="3">
        <v>44943</v>
      </c>
      <c r="G987" s="4" t="s">
        <v>1018</v>
      </c>
      <c r="H987" s="4" t="s">
        <v>7</v>
      </c>
      <c r="I987" s="4">
        <v>49</v>
      </c>
      <c r="J987" s="4" t="str" cm="1">
        <f t="array" ref="J987">_xlfn.IFS(I987&lt;30,"Young Adult", I987&lt;50,"Adult",I987 &gt;=50,"Seniors")</f>
        <v>Adult</v>
      </c>
      <c r="K987" s="4" t="s">
        <v>3</v>
      </c>
      <c r="L987" s="4">
        <v>2</v>
      </c>
      <c r="M987" s="5">
        <v>500</v>
      </c>
      <c r="N987">
        <f>L987*M987</f>
        <v>1000</v>
      </c>
      <c r="O987" s="15">
        <f>N987*$R$3</f>
        <v>15</v>
      </c>
    </row>
    <row r="988" spans="1:15">
      <c r="A988" s="2">
        <v>987</v>
      </c>
      <c r="B988" s="4">
        <f>YEAR(F988)</f>
        <v>2023</v>
      </c>
      <c r="C988" s="4">
        <f>MONTH(F988)</f>
        <v>4</v>
      </c>
      <c r="D988" s="4">
        <f>DAY(F988)</f>
        <v>29</v>
      </c>
      <c r="E988" s="4" t="str">
        <f t="shared" si="15"/>
        <v>Saturday</v>
      </c>
      <c r="F988" s="3">
        <v>45045</v>
      </c>
      <c r="G988" s="4" t="s">
        <v>1019</v>
      </c>
      <c r="H988" s="4" t="s">
        <v>7</v>
      </c>
      <c r="I988" s="4">
        <v>30</v>
      </c>
      <c r="J988" s="4" t="str" cm="1">
        <f t="array" ref="J988">_xlfn.IFS(I988&lt;30,"Young Adult", I988&lt;50,"Adult",I988 &gt;=50,"Seniors")</f>
        <v>Adult</v>
      </c>
      <c r="K988" s="4" t="s">
        <v>3</v>
      </c>
      <c r="L988" s="4">
        <v>3</v>
      </c>
      <c r="M988" s="5">
        <v>300</v>
      </c>
      <c r="N988">
        <f>L988*M988</f>
        <v>900</v>
      </c>
      <c r="O988" s="15">
        <f>N988*$R$3</f>
        <v>13.5</v>
      </c>
    </row>
    <row r="989" spans="1:15">
      <c r="A989" s="2">
        <v>988</v>
      </c>
      <c r="B989" s="4">
        <f>YEAR(F989)</f>
        <v>2023</v>
      </c>
      <c r="C989" s="4">
        <f>MONTH(F989)</f>
        <v>5</v>
      </c>
      <c r="D989" s="4">
        <f>DAY(F989)</f>
        <v>28</v>
      </c>
      <c r="E989" s="4" t="str">
        <f t="shared" si="15"/>
        <v>Sunday</v>
      </c>
      <c r="F989" s="3">
        <v>45074</v>
      </c>
      <c r="G989" s="4" t="s">
        <v>1020</v>
      </c>
      <c r="H989" s="4" t="s">
        <v>7</v>
      </c>
      <c r="I989" s="4">
        <v>63</v>
      </c>
      <c r="J989" s="4" t="str" cm="1">
        <f t="array" ref="J989">_xlfn.IFS(I989&lt;30,"Young Adult", I989&lt;50,"Adult",I989 &gt;=50,"Seniors")</f>
        <v>Seniors</v>
      </c>
      <c r="K989" s="4" t="s">
        <v>3</v>
      </c>
      <c r="L989" s="4">
        <v>3</v>
      </c>
      <c r="M989" s="5">
        <v>25</v>
      </c>
      <c r="N989">
        <f>L989*M989</f>
        <v>75</v>
      </c>
      <c r="O989" s="15">
        <f>N989*$R$3</f>
        <v>1.125</v>
      </c>
    </row>
    <row r="990" spans="1:15">
      <c r="A990" s="2">
        <v>989</v>
      </c>
      <c r="B990" s="4">
        <f>YEAR(F990)</f>
        <v>2023</v>
      </c>
      <c r="C990" s="4">
        <f>MONTH(F990)</f>
        <v>12</v>
      </c>
      <c r="D990" s="4">
        <f>DAY(F990)</f>
        <v>28</v>
      </c>
      <c r="E990" s="4" t="str">
        <f t="shared" si="15"/>
        <v>Thursday</v>
      </c>
      <c r="F990" s="3">
        <v>45288</v>
      </c>
      <c r="G990" s="4" t="s">
        <v>1021</v>
      </c>
      <c r="H990" s="4" t="s">
        <v>7</v>
      </c>
      <c r="I990" s="4">
        <v>44</v>
      </c>
      <c r="J990" s="4" t="str" cm="1">
        <f t="array" ref="J990">_xlfn.IFS(I990&lt;30,"Young Adult", I990&lt;50,"Adult",I990 &gt;=50,"Seniors")</f>
        <v>Adult</v>
      </c>
      <c r="K990" s="4" t="s">
        <v>4</v>
      </c>
      <c r="L990" s="4">
        <v>1</v>
      </c>
      <c r="M990" s="5">
        <v>25</v>
      </c>
      <c r="N990">
        <f>L990*M990</f>
        <v>25</v>
      </c>
      <c r="O990" s="15">
        <f>N990*$R$3</f>
        <v>0.375</v>
      </c>
    </row>
    <row r="991" spans="1:15">
      <c r="A991" s="2">
        <v>990</v>
      </c>
      <c r="B991" s="4">
        <f>YEAR(F991)</f>
        <v>2023</v>
      </c>
      <c r="C991" s="4">
        <f>MONTH(F991)</f>
        <v>5</v>
      </c>
      <c r="D991" s="4">
        <f>DAY(F991)</f>
        <v>25</v>
      </c>
      <c r="E991" s="4" t="str">
        <f t="shared" si="15"/>
        <v>Thursday</v>
      </c>
      <c r="F991" s="3">
        <v>45071</v>
      </c>
      <c r="G991" s="4" t="s">
        <v>1022</v>
      </c>
      <c r="H991" s="4" t="s">
        <v>7</v>
      </c>
      <c r="I991" s="4">
        <v>58</v>
      </c>
      <c r="J991" s="4" t="str" cm="1">
        <f t="array" ref="J991">_xlfn.IFS(I991&lt;30,"Young Adult", I991&lt;50,"Adult",I991 &gt;=50,"Seniors")</f>
        <v>Seniors</v>
      </c>
      <c r="K991" s="4" t="s">
        <v>2</v>
      </c>
      <c r="L991" s="4">
        <v>2</v>
      </c>
      <c r="M991" s="5">
        <v>500</v>
      </c>
      <c r="N991">
        <f>L991*M991</f>
        <v>1000</v>
      </c>
      <c r="O991" s="15">
        <f>N991*$R$3</f>
        <v>15</v>
      </c>
    </row>
    <row r="992" spans="1:15">
      <c r="A992" s="2">
        <v>991</v>
      </c>
      <c r="B992" s="4">
        <f>YEAR(F992)</f>
        <v>2023</v>
      </c>
      <c r="C992" s="4">
        <f>MONTH(F992)</f>
        <v>12</v>
      </c>
      <c r="D992" s="4">
        <f>DAY(F992)</f>
        <v>26</v>
      </c>
      <c r="E992" s="4" t="str">
        <f t="shared" si="15"/>
        <v>Tuesday</v>
      </c>
      <c r="F992" s="3">
        <v>45286</v>
      </c>
      <c r="G992" s="4" t="s">
        <v>1023</v>
      </c>
      <c r="H992" s="4" t="s">
        <v>7</v>
      </c>
      <c r="I992" s="4">
        <v>34</v>
      </c>
      <c r="J992" s="4" t="str" cm="1">
        <f t="array" ref="J992">_xlfn.IFS(I992&lt;30,"Young Adult", I992&lt;50,"Adult",I992 &gt;=50,"Seniors")</f>
        <v>Adult</v>
      </c>
      <c r="K992" s="4" t="s">
        <v>3</v>
      </c>
      <c r="L992" s="4">
        <v>2</v>
      </c>
      <c r="M992" s="5">
        <v>50</v>
      </c>
      <c r="N992">
        <f>L992*M992</f>
        <v>100</v>
      </c>
      <c r="O992" s="15">
        <f>N992*$R$3</f>
        <v>1.5</v>
      </c>
    </row>
    <row r="993" spans="1:15">
      <c r="A993" s="2">
        <v>992</v>
      </c>
      <c r="B993" s="4">
        <f>YEAR(F993)</f>
        <v>2023</v>
      </c>
      <c r="C993" s="4">
        <f>MONTH(F993)</f>
        <v>8</v>
      </c>
      <c r="D993" s="4">
        <f>DAY(F993)</f>
        <v>21</v>
      </c>
      <c r="E993" s="4" t="str">
        <f t="shared" si="15"/>
        <v>Monday</v>
      </c>
      <c r="F993" s="3">
        <v>45159</v>
      </c>
      <c r="G993" s="4" t="s">
        <v>1024</v>
      </c>
      <c r="H993" s="4" t="s">
        <v>7</v>
      </c>
      <c r="I993" s="4">
        <v>57</v>
      </c>
      <c r="J993" s="4" t="str" cm="1">
        <f t="array" ref="J993">_xlfn.IFS(I993&lt;30,"Young Adult", I993&lt;50,"Adult",I993 &gt;=50,"Seniors")</f>
        <v>Seniors</v>
      </c>
      <c r="K993" s="4" t="s">
        <v>4</v>
      </c>
      <c r="L993" s="4">
        <v>2</v>
      </c>
      <c r="M993" s="5">
        <v>30</v>
      </c>
      <c r="N993">
        <f>L993*M993</f>
        <v>60</v>
      </c>
      <c r="O993" s="15">
        <f>N993*$R$3</f>
        <v>0.89999999999999991</v>
      </c>
    </row>
    <row r="994" spans="1:15">
      <c r="A994" s="2">
        <v>993</v>
      </c>
      <c r="B994" s="4">
        <f>YEAR(F994)</f>
        <v>2023</v>
      </c>
      <c r="C994" s="4">
        <f>MONTH(F994)</f>
        <v>2</v>
      </c>
      <c r="D994" s="4">
        <f>DAY(F994)</f>
        <v>6</v>
      </c>
      <c r="E994" s="4" t="str">
        <f t="shared" si="15"/>
        <v>Monday</v>
      </c>
      <c r="F994" s="3">
        <v>44963</v>
      </c>
      <c r="G994" s="4" t="s">
        <v>1025</v>
      </c>
      <c r="H994" s="4" t="s">
        <v>7</v>
      </c>
      <c r="I994" s="4">
        <v>48</v>
      </c>
      <c r="J994" s="4" t="str" cm="1">
        <f t="array" ref="J994">_xlfn.IFS(I994&lt;30,"Young Adult", I994&lt;50,"Adult",I994 &gt;=50,"Seniors")</f>
        <v>Adult</v>
      </c>
      <c r="K994" s="4" t="s">
        <v>4</v>
      </c>
      <c r="L994" s="4">
        <v>3</v>
      </c>
      <c r="M994" s="5">
        <v>50</v>
      </c>
      <c r="N994">
        <f>L994*M994</f>
        <v>150</v>
      </c>
      <c r="O994" s="15">
        <f>N994*$R$3</f>
        <v>2.25</v>
      </c>
    </row>
    <row r="995" spans="1:15">
      <c r="A995" s="2">
        <v>994</v>
      </c>
      <c r="B995" s="4">
        <f>YEAR(F995)</f>
        <v>2023</v>
      </c>
      <c r="C995" s="4">
        <f>MONTH(F995)</f>
        <v>12</v>
      </c>
      <c r="D995" s="4">
        <f>DAY(F995)</f>
        <v>18</v>
      </c>
      <c r="E995" s="4" t="str">
        <f t="shared" si="15"/>
        <v>Monday</v>
      </c>
      <c r="F995" s="3">
        <v>45278</v>
      </c>
      <c r="G995" s="4" t="s">
        <v>1026</v>
      </c>
      <c r="H995" s="4" t="s">
        <v>7</v>
      </c>
      <c r="I995" s="4">
        <v>51</v>
      </c>
      <c r="J995" s="4" t="str" cm="1">
        <f t="array" ref="J995">_xlfn.IFS(I995&lt;30,"Young Adult", I995&lt;50,"Adult",I995 &gt;=50,"Seniors")</f>
        <v>Seniors</v>
      </c>
      <c r="K995" s="4" t="s">
        <v>2</v>
      </c>
      <c r="L995" s="4">
        <v>2</v>
      </c>
      <c r="M995" s="5">
        <v>500</v>
      </c>
      <c r="N995">
        <f>L995*M995</f>
        <v>1000</v>
      </c>
      <c r="O995" s="15">
        <f>N995*$R$3</f>
        <v>15</v>
      </c>
    </row>
    <row r="996" spans="1:15">
      <c r="A996" s="2">
        <v>995</v>
      </c>
      <c r="B996" s="4">
        <f>YEAR(F996)</f>
        <v>2023</v>
      </c>
      <c r="C996" s="4">
        <f>MONTH(F996)</f>
        <v>4</v>
      </c>
      <c r="D996" s="4">
        <f>DAY(F996)</f>
        <v>30</v>
      </c>
      <c r="E996" s="4" t="str">
        <f t="shared" si="15"/>
        <v>Sunday</v>
      </c>
      <c r="F996" s="3">
        <v>45046</v>
      </c>
      <c r="G996" s="4" t="s">
        <v>1027</v>
      </c>
      <c r="H996" s="4" t="s">
        <v>7</v>
      </c>
      <c r="I996" s="4">
        <v>41</v>
      </c>
      <c r="J996" s="4" t="str" cm="1">
        <f t="array" ref="J996">_xlfn.IFS(I996&lt;30,"Young Adult", I996&lt;50,"Adult",I996 &gt;=50,"Seniors")</f>
        <v>Adult</v>
      </c>
      <c r="K996" s="4" t="s">
        <v>3</v>
      </c>
      <c r="L996" s="4">
        <v>1</v>
      </c>
      <c r="M996" s="5">
        <v>30</v>
      </c>
      <c r="N996">
        <f>L996*M996</f>
        <v>30</v>
      </c>
      <c r="O996" s="15">
        <f>N996*$R$3</f>
        <v>0.44999999999999996</v>
      </c>
    </row>
    <row r="997" spans="1:15">
      <c r="A997" s="2">
        <v>996</v>
      </c>
      <c r="B997" s="4">
        <f>YEAR(F997)</f>
        <v>2023</v>
      </c>
      <c r="C997" s="4">
        <f>MONTH(F997)</f>
        <v>5</v>
      </c>
      <c r="D997" s="4">
        <f>DAY(F997)</f>
        <v>16</v>
      </c>
      <c r="E997" s="4" t="str">
        <f t="shared" si="15"/>
        <v>Tuesday</v>
      </c>
      <c r="F997" s="3">
        <v>45062</v>
      </c>
      <c r="G997" s="4" t="s">
        <v>1028</v>
      </c>
      <c r="H997" s="4" t="s">
        <v>8</v>
      </c>
      <c r="I997" s="4">
        <v>62</v>
      </c>
      <c r="J997" s="4" t="str" cm="1">
        <f t="array" ref="J997">_xlfn.IFS(I997&lt;30,"Young Adult", I997&lt;50,"Adult",I997 &gt;=50,"Seniors")</f>
        <v>Seniors</v>
      </c>
      <c r="K997" s="4" t="s">
        <v>3</v>
      </c>
      <c r="L997" s="4">
        <v>1</v>
      </c>
      <c r="M997" s="5">
        <v>50</v>
      </c>
      <c r="N997">
        <f>L997*M997</f>
        <v>50</v>
      </c>
      <c r="O997" s="15">
        <f>N997*$R$3</f>
        <v>0.75</v>
      </c>
    </row>
    <row r="998" spans="1:15">
      <c r="A998" s="2">
        <v>997</v>
      </c>
      <c r="B998" s="4">
        <f>YEAR(F998)</f>
        <v>2023</v>
      </c>
      <c r="C998" s="4">
        <f>MONTH(F998)</f>
        <v>11</v>
      </c>
      <c r="D998" s="4">
        <f>DAY(F998)</f>
        <v>17</v>
      </c>
      <c r="E998" s="4" t="str">
        <f t="shared" si="15"/>
        <v>Friday</v>
      </c>
      <c r="F998" s="3">
        <v>45247</v>
      </c>
      <c r="G998" s="4" t="s">
        <v>1029</v>
      </c>
      <c r="H998" s="4" t="s">
        <v>8</v>
      </c>
      <c r="I998" s="4">
        <v>52</v>
      </c>
      <c r="J998" s="4" t="str" cm="1">
        <f t="array" ref="J998">_xlfn.IFS(I998&lt;30,"Young Adult", I998&lt;50,"Adult",I998 &gt;=50,"Seniors")</f>
        <v>Seniors</v>
      </c>
      <c r="K998" s="4" t="s">
        <v>2</v>
      </c>
      <c r="L998" s="4">
        <v>3</v>
      </c>
      <c r="M998" s="5">
        <v>30</v>
      </c>
      <c r="N998">
        <f>L998*M998</f>
        <v>90</v>
      </c>
      <c r="O998" s="15">
        <f>N998*$R$3</f>
        <v>1.3499999999999999</v>
      </c>
    </row>
    <row r="999" spans="1:15">
      <c r="A999" s="2">
        <v>998</v>
      </c>
      <c r="B999" s="4">
        <f>YEAR(F999)</f>
        <v>2023</v>
      </c>
      <c r="C999" s="4">
        <f>MONTH(F999)</f>
        <v>10</v>
      </c>
      <c r="D999" s="4">
        <f>DAY(F999)</f>
        <v>29</v>
      </c>
      <c r="E999" s="4" t="str">
        <f t="shared" si="15"/>
        <v>Sunday</v>
      </c>
      <c r="F999" s="3">
        <v>45228</v>
      </c>
      <c r="G999" s="4" t="s">
        <v>1030</v>
      </c>
      <c r="H999" s="4" t="s">
        <v>7</v>
      </c>
      <c r="I999" s="4">
        <v>23</v>
      </c>
      <c r="J999" s="4" t="str" cm="1">
        <f t="array" ref="J999">_xlfn.IFS(I999&lt;30,"Young Adult", I999&lt;50,"Adult",I999 &gt;=50,"Seniors")</f>
        <v>Young Adult</v>
      </c>
      <c r="K999" s="4" t="s">
        <v>2</v>
      </c>
      <c r="L999" s="4">
        <v>4</v>
      </c>
      <c r="M999" s="5">
        <v>25</v>
      </c>
      <c r="N999">
        <f>L999*M999</f>
        <v>100</v>
      </c>
      <c r="O999" s="15">
        <f>N999*$R$3</f>
        <v>1.5</v>
      </c>
    </row>
    <row r="1000" spans="1:15">
      <c r="A1000" s="2">
        <v>999</v>
      </c>
      <c r="B1000" s="4">
        <f>YEAR(F1000)</f>
        <v>2023</v>
      </c>
      <c r="C1000" s="4">
        <f>MONTH(F1000)</f>
        <v>12</v>
      </c>
      <c r="D1000" s="4">
        <f>DAY(F1000)</f>
        <v>5</v>
      </c>
      <c r="E1000" s="4" t="str">
        <f t="shared" si="15"/>
        <v>Tuesday</v>
      </c>
      <c r="F1000" s="3">
        <v>45265</v>
      </c>
      <c r="G1000" s="4" t="s">
        <v>1031</v>
      </c>
      <c r="H1000" s="4" t="s">
        <v>7</v>
      </c>
      <c r="I1000" s="4">
        <v>36</v>
      </c>
      <c r="J1000" s="4" t="str" cm="1">
        <f t="array" ref="J1000">_xlfn.IFS(I1000&lt;30,"Young Adult", I1000&lt;50,"Adult",I1000 &gt;=50,"Seniors")</f>
        <v>Adult</v>
      </c>
      <c r="K1000" s="4" t="s">
        <v>4</v>
      </c>
      <c r="L1000" s="4">
        <v>3</v>
      </c>
      <c r="M1000" s="5">
        <v>50</v>
      </c>
      <c r="N1000">
        <f>L1000*M1000</f>
        <v>150</v>
      </c>
      <c r="O1000" s="15">
        <f>N1000*$R$3</f>
        <v>2.25</v>
      </c>
    </row>
    <row r="1001" spans="1:15">
      <c r="A1001" s="6">
        <v>1000</v>
      </c>
      <c r="B1001" s="4">
        <f>YEAR(F1001)</f>
        <v>2023</v>
      </c>
      <c r="C1001" s="4">
        <f>MONTH(F1001)</f>
        <v>4</v>
      </c>
      <c r="D1001" s="4">
        <f>DAY(F1001)</f>
        <v>12</v>
      </c>
      <c r="E1001" s="4" t="str">
        <f t="shared" si="15"/>
        <v>Wednesday</v>
      </c>
      <c r="F1001" s="7">
        <v>45028</v>
      </c>
      <c r="G1001" s="8" t="s">
        <v>1032</v>
      </c>
      <c r="H1001" s="8" t="s">
        <v>8</v>
      </c>
      <c r="I1001" s="8">
        <v>47</v>
      </c>
      <c r="J1001" s="4" t="str" cm="1">
        <f t="array" ref="J1001">_xlfn.IFS(I1001&lt;30,"Young Adult", I1001&lt;50,"Adult",I1001 &gt;=50,"Seniors")</f>
        <v>Adult</v>
      </c>
      <c r="K1001" s="8" t="s">
        <v>4</v>
      </c>
      <c r="L1001" s="8">
        <v>4</v>
      </c>
      <c r="M1001" s="9">
        <v>30</v>
      </c>
      <c r="N1001">
        <f>L1001*M1001</f>
        <v>120</v>
      </c>
      <c r="O1001" s="15">
        <f>N1001*$R$3</f>
        <v>1.7999999999999998</v>
      </c>
    </row>
  </sheetData>
  <autoFilter ref="A1:R1001" xr:uid="{00000000-0001-0000-0000-000000000000}">
    <sortState xmlns:xlrd2="http://schemas.microsoft.com/office/spreadsheetml/2017/richdata2" ref="A2:R1001">
      <sortCondition ref="A2:A1001"/>
    </sortState>
  </autoFilter>
  <sortState xmlns:xlrd2="http://schemas.microsoft.com/office/spreadsheetml/2017/richdata2" ref="A2:O1001">
    <sortCondition ref="A2:A1001"/>
  </sortState>
  <conditionalFormatting sqref="R14:R1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ellIs" dxfId="2" priority="5" operator="equal">
      <formula>"seniors"</formula>
    </cfRule>
  </conditionalFormatting>
  <conditionalFormatting sqref="N1:N1048576">
    <cfRule type="cellIs" dxfId="1" priority="4" operator="lessThan">
      <formula>100</formula>
    </cfRule>
  </conditionalFormatting>
  <conditionalFormatting sqref="K1:K1048576">
    <cfRule type="cellIs" dxfId="0" priority="1" operator="equal">
      <formula>"BEAUTY"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E16"/>
  <sheetViews>
    <sheetView workbookViewId="0">
      <selection activeCell="I11" sqref="I11"/>
    </sheetView>
  </sheetViews>
  <sheetFormatPr defaultColWidth="11.25" defaultRowHeight="15.75"/>
  <cols>
    <col min="1" max="1" width="14.5" customWidth="1"/>
    <col min="3" max="3" width="23.25" customWidth="1"/>
    <col min="4" max="5" width="17.75" customWidth="1"/>
  </cols>
  <sheetData>
    <row r="1" spans="1:5">
      <c r="A1" s="1" t="s">
        <v>16</v>
      </c>
      <c r="B1" s="1" t="s">
        <v>26</v>
      </c>
      <c r="C1" s="1" t="s">
        <v>1033</v>
      </c>
      <c r="E1" s="13" t="s">
        <v>1034</v>
      </c>
    </row>
    <row r="2" spans="1:5">
      <c r="A2">
        <v>10</v>
      </c>
      <c r="B2">
        <f>VLOOKUP(A2,retail_sales_dataset!A2:O1001,13, FALSE)</f>
        <v>50</v>
      </c>
      <c r="C2" t="str">
        <f>VLOOKUP(A2,retail_sales_dataset!A1:O1001,11,FALSE)</f>
        <v>Clothing</v>
      </c>
      <c r="E2" t="str">
        <f>CONCATENATE(B2, " ", C2)</f>
        <v>50 Clothing</v>
      </c>
    </row>
    <row r="3" spans="1:5">
      <c r="A3">
        <v>15</v>
      </c>
      <c r="B3">
        <f>VLOOKUP(A3,retail_sales_dataset!A3:O1002,13, FALSE)</f>
        <v>500</v>
      </c>
      <c r="C3" t="str">
        <f>VLOOKUP(A3,retail_sales_dataset!A2:O1002,11,FALSE)</f>
        <v>Electronics</v>
      </c>
      <c r="E3" t="str">
        <f t="shared" ref="E3:E10" si="0">CONCATENATE(B3, " ", C3)</f>
        <v>500 Electronics</v>
      </c>
    </row>
    <row r="4" spans="1:5">
      <c r="A4">
        <v>25</v>
      </c>
      <c r="B4">
        <f>VLOOKUP(A4,retail_sales_dataset!A4:O1003,13, FALSE)</f>
        <v>50</v>
      </c>
      <c r="C4" t="str">
        <f>VLOOKUP(A4,retail_sales_dataset!A3:O1003,11,FALSE)</f>
        <v>Beauty</v>
      </c>
      <c r="E4" t="str">
        <f t="shared" si="0"/>
        <v>50 Beauty</v>
      </c>
    </row>
    <row r="5" spans="1:5">
      <c r="A5">
        <v>30</v>
      </c>
      <c r="B5">
        <f>VLOOKUP(A5,retail_sales_dataset!A5:O1004,13, FALSE)</f>
        <v>300</v>
      </c>
      <c r="C5" t="str">
        <f>VLOOKUP(A5,retail_sales_dataset!A4:O1004,11,FALSE)</f>
        <v>Beauty</v>
      </c>
      <c r="E5" t="str">
        <f t="shared" si="0"/>
        <v>300 Beauty</v>
      </c>
    </row>
    <row r="6" spans="1:5">
      <c r="A6">
        <v>54</v>
      </c>
      <c r="B6">
        <f>VLOOKUP(A6,retail_sales_dataset!A6:O1005,13, FALSE)</f>
        <v>500</v>
      </c>
      <c r="C6" t="str">
        <f>VLOOKUP(A6,retail_sales_dataset!A5:O1005,11,FALSE)</f>
        <v>Electronics</v>
      </c>
      <c r="E6" t="str">
        <f t="shared" si="0"/>
        <v>500 Electronics</v>
      </c>
    </row>
    <row r="7" spans="1:5">
      <c r="A7">
        <v>55</v>
      </c>
      <c r="B7">
        <f>VLOOKUP(A7,retail_sales_dataset!A7:O1006,13, FALSE)</f>
        <v>30</v>
      </c>
      <c r="C7" t="str">
        <f>VLOOKUP(A7,retail_sales_dataset!A6:O1006,11,FALSE)</f>
        <v>Beauty</v>
      </c>
      <c r="E7" t="str">
        <f t="shared" si="0"/>
        <v>30 Beauty</v>
      </c>
    </row>
    <row r="8" spans="1:5">
      <c r="A8">
        <v>67</v>
      </c>
      <c r="B8">
        <f>VLOOKUP(A8,retail_sales_dataset!A8:O1007,13, FALSE)</f>
        <v>300</v>
      </c>
      <c r="C8" t="str">
        <f>VLOOKUP(A8,retail_sales_dataset!A7:O1007,11,FALSE)</f>
        <v>Beauty</v>
      </c>
      <c r="E8" t="str">
        <f t="shared" si="0"/>
        <v>300 Beauty</v>
      </c>
    </row>
    <row r="9" spans="1:5">
      <c r="A9">
        <v>89</v>
      </c>
      <c r="B9">
        <f>VLOOKUP(A9,retail_sales_dataset!A9:O1008,13, FALSE)</f>
        <v>500</v>
      </c>
      <c r="C9" t="str">
        <f>VLOOKUP(A9,retail_sales_dataset!A8:O1008,11,FALSE)</f>
        <v>Electronics</v>
      </c>
      <c r="E9" t="str">
        <f t="shared" si="0"/>
        <v>500 Electronics</v>
      </c>
    </row>
    <row r="10" spans="1:5">
      <c r="A10">
        <v>100</v>
      </c>
      <c r="B10">
        <f>VLOOKUP(A10,retail_sales_dataset!A10:O1009,13, FALSE)</f>
        <v>30</v>
      </c>
      <c r="C10" t="str">
        <f>VLOOKUP(A10,retail_sales_dataset!A9:O1009,11,FALSE)</f>
        <v>Electronics</v>
      </c>
      <c r="E10" t="str">
        <f t="shared" si="0"/>
        <v>30 Electronics</v>
      </c>
    </row>
    <row r="12" spans="1:5">
      <c r="B12" t="s">
        <v>1035</v>
      </c>
    </row>
    <row r="13" spans="1:5">
      <c r="A13">
        <f>COUNTA(A2:A10)</f>
        <v>9</v>
      </c>
      <c r="B13">
        <f t="shared" ref="B13:E13" si="1">COUNTA(B2:B10)</f>
        <v>9</v>
      </c>
      <c r="C13">
        <f t="shared" si="1"/>
        <v>9</v>
      </c>
      <c r="D13">
        <f t="shared" si="1"/>
        <v>0</v>
      </c>
      <c r="E13">
        <f t="shared" si="1"/>
        <v>9</v>
      </c>
    </row>
    <row r="15" spans="1:5">
      <c r="B15" t="s">
        <v>1036</v>
      </c>
    </row>
    <row r="16" spans="1:5">
      <c r="A16">
        <f>COUNTA(A2:A10)</f>
        <v>9</v>
      </c>
      <c r="B16">
        <f t="shared" ref="B16:E16" si="2">COUNTA(B2:B10)</f>
        <v>9</v>
      </c>
      <c r="C16">
        <f t="shared" si="2"/>
        <v>9</v>
      </c>
      <c r="D16">
        <f t="shared" si="2"/>
        <v>0</v>
      </c>
      <c r="E16">
        <f t="shared" si="2"/>
        <v>9</v>
      </c>
    </row>
  </sheetData>
  <conditionalFormatting sqref="E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a20f74-fed7-4cc8-9735-6877df4cb2a6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11" ma:contentTypeDescription="Create a new document." ma:contentTypeScope="" ma:versionID="9e5f3314a8a05905bee68af79163dc2e">
  <xsd:schema xmlns:xsd="http://www.w3.org/2001/XMLSchema" xmlns:xs="http://www.w3.org/2001/XMLSchema" xmlns:p="http://schemas.microsoft.com/office/2006/metadata/properties" xmlns:ns2="a1a20f74-fed7-4cc8-9735-6877df4cb2a6" xmlns:ns3="aed9edca-548a-45a6-aac5-f15d86531b89" targetNamespace="http://schemas.microsoft.com/office/2006/metadata/properties" ma:root="true" ma:fieldsID="ca4450f46ab11195f4941825994c4d7f" ns2:_="" ns3:_="">
    <xsd:import namespace="a1a20f74-fed7-4cc8-9735-6877df4cb2a6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2F3FFA2-A909-498D-9BC6-33DF5B99923B}"/>
</file>

<file path=customXml/itemProps2.xml><?xml version="1.0" encoding="utf-8"?>
<ds:datastoreItem xmlns:ds="http://schemas.openxmlformats.org/officeDocument/2006/customXml" ds:itemID="{0ECF1352-6F0C-4E7B-8AFB-2EA761E69D98}"/>
</file>

<file path=customXml/itemProps3.xml><?xml version="1.0" encoding="utf-8"?>
<ds:datastoreItem xmlns:ds="http://schemas.openxmlformats.org/officeDocument/2006/customXml" ds:itemID="{FE6DF61C-7ABD-44B9-B769-8F2899BB81F7}"/>
</file>

<file path=customXml/itemProps4.xml><?xml version="1.0" encoding="utf-8"?>
<ds:datastoreItem xmlns:ds="http://schemas.openxmlformats.org/officeDocument/2006/customXml" ds:itemID="{B0863CD4-1E7A-4D88-A05C-62E37A52A464}"/>
</file>

<file path=customXml/itemProps5.xml><?xml version="1.0" encoding="utf-8"?>
<ds:datastoreItem xmlns:ds="http://schemas.openxmlformats.org/officeDocument/2006/customXml" ds:itemID="{E643224C-1CC4-4A7F-A567-22ECFBDF619E}"/>
</file>

<file path=customXml/itemProps6.xml><?xml version="1.0" encoding="utf-8"?>
<ds:datastoreItem xmlns:ds="http://schemas.openxmlformats.org/officeDocument/2006/customXml" ds:itemID="{06D295F5-8058-4546-A127-35DC9120150C}"/>
</file>

<file path=customXml/itemProps7.xml><?xml version="1.0" encoding="utf-8"?>
<ds:datastoreItem xmlns:ds="http://schemas.openxmlformats.org/officeDocument/2006/customXml" ds:itemID="{DD9334D5-6C08-4A46-AD2C-FA9BF6D4670C}"/>
</file>

<file path=customXml/itemProps8.xml><?xml version="1.0" encoding="utf-8"?>
<ds:datastoreItem xmlns:ds="http://schemas.openxmlformats.org/officeDocument/2006/customXml" ds:itemID="{09B95C5D-16BB-4BEF-B316-6D3A8C9DD811}"/>
</file>

<file path=customXml/itemProps9.xml><?xml version="1.0" encoding="utf-8"?>
<ds:datastoreItem xmlns:ds="http://schemas.openxmlformats.org/officeDocument/2006/customXml" ds:itemID="{9190CA0F-535F-4E99-9D22-E64B1EB7326E}"/>
</file>

<file path=customXml/itemProps10.xml><?xml version="1.0" encoding="utf-8"?>
<ds:datastoreItem xmlns:ds="http://schemas.openxmlformats.org/officeDocument/2006/customXml" ds:itemID="{A85E162B-7A50-4957-AE78-A5F153441C86}"/>
</file>

<file path=customXml/itemProps11.xml><?xml version="1.0" encoding="utf-8"?>
<ds:datastoreItem xmlns:ds="http://schemas.openxmlformats.org/officeDocument/2006/customXml" ds:itemID="{19C66761-A138-4D29-95EB-4CF018C84C81}"/>
</file>

<file path=customXml/itemProps12.xml><?xml version="1.0" encoding="utf-8"?>
<ds:datastoreItem xmlns:ds="http://schemas.openxmlformats.org/officeDocument/2006/customXml" ds:itemID="{6A238311-EE1E-4F00-870C-F1577541CA78}"/>
</file>

<file path=customXml/itemProps13.xml><?xml version="1.0" encoding="utf-8"?>
<ds:datastoreItem xmlns:ds="http://schemas.openxmlformats.org/officeDocument/2006/customXml" ds:itemID="{E2D36A1E-236C-4E19-9955-D6B07E5D30B7}"/>
</file>

<file path=customXml/itemProps14.xml><?xml version="1.0" encoding="utf-8"?>
<ds:datastoreItem xmlns:ds="http://schemas.openxmlformats.org/officeDocument/2006/customXml" ds:itemID="{3E8CB0BE-C4BA-4913-9C77-CD4B1441093A}"/>
</file>

<file path=customXml/itemProps15.xml><?xml version="1.0" encoding="utf-8"?>
<ds:datastoreItem xmlns:ds="http://schemas.openxmlformats.org/officeDocument/2006/customXml" ds:itemID="{15575EC4-E142-4B68-9BA1-7D9F83EA5067}"/>
</file>

<file path=customXml/itemProps16.xml><?xml version="1.0" encoding="utf-8"?>
<ds:datastoreItem xmlns:ds="http://schemas.openxmlformats.org/officeDocument/2006/customXml" ds:itemID="{B46F128A-B7FE-46C0-9B9B-600600B1B28E}"/>
</file>

<file path=customXml/itemProps17.xml><?xml version="1.0" encoding="utf-8"?>
<ds:datastoreItem xmlns:ds="http://schemas.openxmlformats.org/officeDocument/2006/customXml" ds:itemID="{A4B88D49-EA58-47E5-AA07-36D60BC9149C}"/>
</file>

<file path=customXml/itemProps18.xml><?xml version="1.0" encoding="utf-8"?>
<ds:datastoreItem xmlns:ds="http://schemas.openxmlformats.org/officeDocument/2006/customXml" ds:itemID="{6DA07CEC-807D-4764-A388-A6BBED7640E0}"/>
</file>

<file path=customXml/itemProps19.xml><?xml version="1.0" encoding="utf-8"?>
<ds:datastoreItem xmlns:ds="http://schemas.openxmlformats.org/officeDocument/2006/customXml" ds:itemID="{8B7F014E-65B1-48DD-A1AF-A79E02398F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Denise Sorhaindo</cp:lastModifiedBy>
  <cp:revision/>
  <dcterms:created xsi:type="dcterms:W3CDTF">2024-01-05T15:03:52Z</dcterms:created>
  <dcterms:modified xsi:type="dcterms:W3CDTF">2026-05-07T12:50:47Z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  <property fmtid="{D5CDD505-2E9C-101B-9397-08002B2CF9AE}" pid="3" name="Order">
    <vt:r8>700</vt:r8>
  </property>
  <property fmtid="{D5CDD505-2E9C-101B-9397-08002B2CF9AE}" pid="4" name="MediaServiceImageTags">
    <vt:lpwstr/>
  </property>
</Properties>
</file>